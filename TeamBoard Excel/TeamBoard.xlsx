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UPA\💎  TechOffice   🔬\⚖️  Operational\⚖️   Team Board\TeamBoard Excel\"/>
    </mc:Choice>
  </mc:AlternateContent>
  <xr:revisionPtr revIDLastSave="0" documentId="13_ncr:1_{76E2935F-346C-4B90-93A3-B5CE6E6F4CDB}" xr6:coauthVersionLast="47" xr6:coauthVersionMax="47" xr10:uidLastSave="{00000000-0000-0000-0000-000000000000}"/>
  <bookViews>
    <workbookView xWindow="-108" yWindow="-108" windowWidth="23256" windowHeight="12456" xr2:uid="{76F354F9-112E-4400-853E-1B9AB9DF5E85}"/>
  </bookViews>
  <sheets>
    <sheet name="Home" sheetId="12" r:id="rId1"/>
    <sheet name="Dashboard" sheetId="11" r:id="rId2"/>
    <sheet name="Board" sheetId="10" r:id="rId3"/>
    <sheet name="Room" sheetId="9" r:id="rId4"/>
    <sheet name="My Work" sheetId="8" r:id="rId5"/>
    <sheet name="Calendar" sheetId="7" r:id="rId6"/>
    <sheet name="Scorecards" sheetId="6" r:id="rId7"/>
    <sheet name="Projects" sheetId="4" r:id="rId8"/>
    <sheet name="Tasks" sheetId="5" r:id="rId9"/>
    <sheet name="Team" sheetId="3" r:id="rId10"/>
    <sheet name="Settings" sheetId="2" r:id="rId11"/>
    <sheet name="Calc" sheetId="1" state="hidden" r:id="rId12"/>
  </sheets>
  <definedNames>
    <definedName name="CalFirst">DATE(Calendar!$E$5,calMonthNum,1)</definedName>
    <definedName name="calMonthNum">MATCH(Calendar!$C$5,lstMonths,0)</definedName>
    <definedName name="CalStart">CalFirst-WEEKDAY(CalFirst,2)+1</definedName>
    <definedName name="DoneStatus">INDEX(tblStatus[Status],ROWS(tblStatus[Status]))</definedName>
    <definedName name="lstMembers">tblTeam[Name]</definedName>
    <definedName name="lstMonths">tblMonths[Month]</definedName>
    <definedName name="lstPriority">tblPriority[Priority]</definedName>
    <definedName name="lstProjects">tblProjects[Project]</definedName>
    <definedName name="lstStatus">tblStatus[Status]</definedName>
    <definedName name="MaxCards">25</definedName>
    <definedName name="_xlnm.Print_Area" localSheetId="2">Board!$A$1:$P$66</definedName>
    <definedName name="_xlnm.Print_Area" localSheetId="5">Calendar!$A$1:$I$48</definedName>
    <definedName name="_xlnm.Print_Area" localSheetId="1">Dashboard!$A$1:$P$87</definedName>
    <definedName name="_xlnm.Print_Area" localSheetId="0">Home!$A$1:$N$32</definedName>
    <definedName name="_xlnm.Print_Area" localSheetId="4">'My Work'!$A$1:$L$37</definedName>
    <definedName name="_xlnm.Print_Area" localSheetId="3">Room!$A$1:$L$53</definedName>
    <definedName name="_xlnm.Print_Area" localSheetId="6">Scorecards!$A$1:$U$47</definedName>
    <definedName name="Slicer_Owner">#N/A</definedName>
    <definedName name="Slicer_Priority">#N/A</definedName>
    <definedName name="Slicer_Project">#N/A</definedName>
    <definedName name="Slicer_Statu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4:slicerCache r:id="rId15"/>
        <x14:slicerCache r:id="rId1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47" i="5" l="1"/>
  <c r="P47" i="5" a="1"/>
  <c r="P47" i="5" s="1"/>
  <c r="Q47" i="5" a="1"/>
  <c r="Q47" i="5" s="1"/>
  <c r="S47" i="5" s="1" a="1"/>
  <c r="S47" i="5" s="1"/>
  <c r="R47" i="5" a="1"/>
  <c r="R47" i="5" s="1"/>
  <c r="T47" i="5"/>
  <c r="U47" i="5"/>
  <c r="V47" i="5"/>
  <c r="J12" i="4"/>
  <c r="K12" i="4" a="1"/>
  <c r="K12" i="4" s="1"/>
  <c r="N12" i="4"/>
  <c r="B8" i="6" a="1"/>
  <c r="B8" i="6" s="1"/>
  <c r="E5" i="7"/>
  <c r="K26" i="8"/>
  <c r="K25" i="8" a="1"/>
  <c r="K25" i="8" s="1"/>
  <c r="K21" i="8"/>
  <c r="K16" i="8"/>
  <c r="K11" i="8" a="1"/>
  <c r="K11" i="8" s="1"/>
  <c r="K10" i="8" a="1"/>
  <c r="K10" i="8" s="1"/>
  <c r="B13" i="9" a="1"/>
  <c r="B13" i="9" s="1"/>
  <c r="B8" i="9" a="1"/>
  <c r="B8" i="9" s="1"/>
  <c r="B5" i="9" a="1"/>
  <c r="B5" i="9" s="1"/>
  <c r="I70" i="11" a="1"/>
  <c r="I70" i="11" s="1"/>
  <c r="J69" i="11" a="1"/>
  <c r="J69" i="11" s="1"/>
  <c r="L14" i="11"/>
  <c r="J14" i="11"/>
  <c r="H14" i="11"/>
  <c r="L3" i="11"/>
  <c r="B45" i="1" a="1"/>
  <c r="B45" i="1" s="1"/>
  <c r="B20" i="1" a="1"/>
  <c r="B20" i="1" s="1"/>
  <c r="B10" i="1" a="1"/>
  <c r="B10" i="1" s="1"/>
  <c r="B3" i="1" a="1"/>
  <c r="B3" i="1" s="1"/>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R7" i="5" a="1"/>
  <c r="R7" i="5" s="1"/>
  <c r="R8" i="5" a="1"/>
  <c r="R8" i="5" s="1"/>
  <c r="R9" i="5" a="1"/>
  <c r="R9" i="5" s="1"/>
  <c r="R10" i="5" a="1"/>
  <c r="R10" i="5" s="1"/>
  <c r="R11" i="5" a="1"/>
  <c r="R11" i="5" s="1"/>
  <c r="R12" i="5" a="1"/>
  <c r="R12" i="5" s="1"/>
  <c r="R13" i="5" a="1"/>
  <c r="R13" i="5" s="1"/>
  <c r="R14" i="5" a="1"/>
  <c r="R14" i="5" s="1"/>
  <c r="R15" i="5" a="1"/>
  <c r="R15" i="5" s="1"/>
  <c r="R16" i="5" a="1"/>
  <c r="R16" i="5" s="1"/>
  <c r="R17" i="5" a="1"/>
  <c r="R17" i="5" s="1"/>
  <c r="R18" i="5" a="1"/>
  <c r="R18" i="5" s="1"/>
  <c r="R19" i="5" a="1"/>
  <c r="R19" i="5" s="1"/>
  <c r="R20" i="5" a="1"/>
  <c r="R20" i="5" s="1"/>
  <c r="R21" i="5" a="1"/>
  <c r="R21" i="5" s="1"/>
  <c r="R22" i="5" a="1"/>
  <c r="R22" i="5" s="1"/>
  <c r="R23" i="5" a="1"/>
  <c r="R23" i="5" s="1"/>
  <c r="R24" i="5" a="1"/>
  <c r="R24" i="5" s="1"/>
  <c r="R25" i="5" a="1"/>
  <c r="R25" i="5" s="1"/>
  <c r="R26" i="5" a="1"/>
  <c r="R26" i="5" s="1"/>
  <c r="R27" i="5" a="1"/>
  <c r="R27" i="5" s="1"/>
  <c r="R28" i="5" a="1"/>
  <c r="R28" i="5" s="1"/>
  <c r="R29" i="5" a="1"/>
  <c r="R29" i="5" s="1"/>
  <c r="R30" i="5" a="1"/>
  <c r="R30" i="5" s="1"/>
  <c r="R31" i="5" a="1"/>
  <c r="R31" i="5" s="1"/>
  <c r="R32" i="5" a="1"/>
  <c r="R32" i="5" s="1"/>
  <c r="R33" i="5" a="1"/>
  <c r="R33" i="5" s="1"/>
  <c r="R34" i="5" a="1"/>
  <c r="R34" i="5" s="1"/>
  <c r="R35" i="5" a="1"/>
  <c r="R35" i="5" s="1"/>
  <c r="R36" i="5" a="1"/>
  <c r="R36" i="5" s="1"/>
  <c r="R37" i="5" a="1"/>
  <c r="R37" i="5" s="1"/>
  <c r="R38" i="5" a="1"/>
  <c r="R38" i="5" s="1"/>
  <c r="R39" i="5" a="1"/>
  <c r="R39" i="5" s="1"/>
  <c r="R40" i="5" a="1"/>
  <c r="R40" i="5" s="1"/>
  <c r="R41" i="5" a="1"/>
  <c r="R41" i="5" s="1"/>
  <c r="R42" i="5" a="1"/>
  <c r="R42" i="5" s="1"/>
  <c r="R43" i="5" a="1"/>
  <c r="R43" i="5" s="1"/>
  <c r="R44" i="5" a="1"/>
  <c r="R44" i="5" s="1"/>
  <c r="R45" i="5" a="1"/>
  <c r="R45" i="5" s="1"/>
  <c r="R46" i="5" a="1"/>
  <c r="R46" i="5" s="1"/>
  <c r="Q7" i="5" a="1"/>
  <c r="Q7" i="5" s="1"/>
  <c r="S7" i="5" s="1" a="1"/>
  <c r="S7" i="5" s="1"/>
  <c r="Q8" i="5" a="1"/>
  <c r="Q8" i="5" s="1"/>
  <c r="S8" i="5" s="1" a="1"/>
  <c r="S8" i="5" s="1"/>
  <c r="Q9" i="5" a="1"/>
  <c r="Q9" i="5" s="1"/>
  <c r="S9" i="5" s="1" a="1"/>
  <c r="S9" i="5" s="1"/>
  <c r="Q10" i="5" a="1"/>
  <c r="Q10" i="5" s="1"/>
  <c r="S10" i="5" s="1" a="1"/>
  <c r="S10" i="5" s="1"/>
  <c r="Q11" i="5" a="1"/>
  <c r="Q11" i="5" s="1"/>
  <c r="S11" i="5" s="1" a="1"/>
  <c r="S11" i="5" s="1"/>
  <c r="Q12" i="5" a="1"/>
  <c r="Q12" i="5" s="1"/>
  <c r="S12" i="5" s="1" a="1"/>
  <c r="S12" i="5" s="1"/>
  <c r="Q13" i="5" a="1"/>
  <c r="Q13" i="5" s="1"/>
  <c r="S13" i="5" s="1" a="1"/>
  <c r="S13" i="5" s="1"/>
  <c r="Q14" i="5" a="1"/>
  <c r="Q14" i="5" s="1"/>
  <c r="S14" i="5" s="1" a="1"/>
  <c r="S14" i="5" s="1"/>
  <c r="Q15" i="5" a="1"/>
  <c r="Q15" i="5" s="1"/>
  <c r="S15" i="5" s="1" a="1"/>
  <c r="S15" i="5" s="1"/>
  <c r="Q16" i="5" a="1"/>
  <c r="Q16" i="5" s="1"/>
  <c r="S16" i="5" s="1" a="1"/>
  <c r="S16" i="5" s="1"/>
  <c r="Q17" i="5" a="1"/>
  <c r="Q17" i="5" s="1"/>
  <c r="S17" i="5" s="1" a="1"/>
  <c r="S17" i="5" s="1"/>
  <c r="Q18" i="5" a="1"/>
  <c r="Q18" i="5" s="1"/>
  <c r="S18" i="5" s="1" a="1"/>
  <c r="S18" i="5" s="1"/>
  <c r="Q19" i="5" a="1"/>
  <c r="Q19" i="5" s="1"/>
  <c r="S19" i="5" s="1" a="1"/>
  <c r="S19" i="5" s="1"/>
  <c r="Q20" i="5" a="1"/>
  <c r="Q20" i="5" s="1"/>
  <c r="S20" i="5" s="1" a="1"/>
  <c r="S20" i="5" s="1"/>
  <c r="Q21" i="5" a="1"/>
  <c r="Q21" i="5" s="1"/>
  <c r="S21" i="5" s="1" a="1"/>
  <c r="S21" i="5" s="1"/>
  <c r="Q22" i="5" a="1"/>
  <c r="Q22" i="5" s="1"/>
  <c r="S22" i="5" s="1" a="1"/>
  <c r="S22" i="5" s="1"/>
  <c r="Q23" i="5" a="1"/>
  <c r="Q23" i="5" s="1"/>
  <c r="S23" i="5" s="1" a="1"/>
  <c r="S23" i="5" s="1"/>
  <c r="Q24" i="5" a="1"/>
  <c r="Q24" i="5" s="1"/>
  <c r="S24" i="5" s="1" a="1"/>
  <c r="S24" i="5" s="1"/>
  <c r="Q25" i="5" a="1"/>
  <c r="Q25" i="5" s="1"/>
  <c r="S25" i="5" s="1" a="1"/>
  <c r="S25" i="5" s="1"/>
  <c r="Q26" i="5" a="1"/>
  <c r="Q26" i="5" s="1"/>
  <c r="S26" i="5" s="1" a="1"/>
  <c r="S26" i="5" s="1"/>
  <c r="Q27" i="5" a="1"/>
  <c r="Q27" i="5" s="1"/>
  <c r="S27" i="5" s="1" a="1"/>
  <c r="S27" i="5" s="1"/>
  <c r="Q28" i="5" a="1"/>
  <c r="Q28" i="5" s="1"/>
  <c r="S28" i="5" s="1" a="1"/>
  <c r="S28" i="5" s="1"/>
  <c r="Q29" i="5" a="1"/>
  <c r="Q29" i="5" s="1"/>
  <c r="S29" i="5" s="1" a="1"/>
  <c r="S29" i="5" s="1"/>
  <c r="Q30" i="5" a="1"/>
  <c r="Q30" i="5" s="1"/>
  <c r="S30" i="5" s="1" a="1"/>
  <c r="S30" i="5" s="1"/>
  <c r="Q31" i="5" a="1"/>
  <c r="Q31" i="5" s="1"/>
  <c r="S31" i="5" s="1" a="1"/>
  <c r="S31" i="5" s="1"/>
  <c r="Q32" i="5" a="1"/>
  <c r="Q32" i="5" s="1"/>
  <c r="S32" i="5" s="1" a="1"/>
  <c r="S32" i="5" s="1"/>
  <c r="Q33" i="5" a="1"/>
  <c r="Q33" i="5" s="1"/>
  <c r="S33" i="5" s="1" a="1"/>
  <c r="S33" i="5" s="1"/>
  <c r="Q34" i="5" a="1"/>
  <c r="Q34" i="5" s="1"/>
  <c r="S34" i="5" s="1" a="1"/>
  <c r="S34" i="5" s="1"/>
  <c r="Q35" i="5" a="1"/>
  <c r="Q35" i="5" s="1"/>
  <c r="S35" i="5" s="1" a="1"/>
  <c r="S35" i="5" s="1"/>
  <c r="Q36" i="5" a="1"/>
  <c r="Q36" i="5" s="1"/>
  <c r="S36" i="5" s="1" a="1"/>
  <c r="S36" i="5" s="1"/>
  <c r="Q37" i="5" a="1"/>
  <c r="Q37" i="5" s="1"/>
  <c r="S37" i="5" s="1" a="1"/>
  <c r="S37" i="5" s="1"/>
  <c r="Q38" i="5" a="1"/>
  <c r="Q38" i="5" s="1"/>
  <c r="S38" i="5" s="1" a="1"/>
  <c r="S38" i="5" s="1"/>
  <c r="Q39" i="5" a="1"/>
  <c r="Q39" i="5" s="1"/>
  <c r="S39" i="5" s="1" a="1"/>
  <c r="S39" i="5" s="1"/>
  <c r="Q40" i="5" a="1"/>
  <c r="Q40" i="5" s="1"/>
  <c r="S40" i="5" s="1" a="1"/>
  <c r="S40" i="5" s="1"/>
  <c r="Q41" i="5" a="1"/>
  <c r="Q41" i="5" s="1"/>
  <c r="S41" i="5" s="1" a="1"/>
  <c r="S41" i="5" s="1"/>
  <c r="Q42" i="5" a="1"/>
  <c r="Q42" i="5" s="1"/>
  <c r="S42" i="5" s="1" a="1"/>
  <c r="S42" i="5" s="1"/>
  <c r="Q43" i="5" a="1"/>
  <c r="Q43" i="5" s="1"/>
  <c r="S43" i="5" s="1" a="1"/>
  <c r="S43" i="5" s="1"/>
  <c r="Q44" i="5" a="1"/>
  <c r="Q44" i="5" s="1"/>
  <c r="S44" i="5" s="1" a="1"/>
  <c r="S44" i="5" s="1"/>
  <c r="Q45" i="5" a="1"/>
  <c r="Q45" i="5" s="1"/>
  <c r="S45" i="5" s="1" a="1"/>
  <c r="S45" i="5" s="1"/>
  <c r="Q46" i="5" a="1"/>
  <c r="Q46" i="5" s="1"/>
  <c r="S46" i="5" s="1" a="1"/>
  <c r="S46" i="5" s="1"/>
  <c r="P7" i="5" a="1"/>
  <c r="P7" i="5" s="1"/>
  <c r="P8" i="5" a="1"/>
  <c r="P8" i="5" s="1"/>
  <c r="P9" i="5" a="1"/>
  <c r="P9" i="5" s="1"/>
  <c r="P10" i="5" a="1"/>
  <c r="P10" i="5" s="1"/>
  <c r="P11" i="5" a="1"/>
  <c r="P11" i="5" s="1"/>
  <c r="P12" i="5" a="1"/>
  <c r="P12" i="5" s="1"/>
  <c r="P13" i="5" a="1"/>
  <c r="P13" i="5" s="1"/>
  <c r="P14" i="5" a="1"/>
  <c r="P14" i="5" s="1"/>
  <c r="P15" i="5" a="1"/>
  <c r="P15" i="5" s="1"/>
  <c r="P16" i="5" a="1"/>
  <c r="P16" i="5" s="1"/>
  <c r="P17" i="5" a="1"/>
  <c r="P17" i="5" s="1"/>
  <c r="P18" i="5" a="1"/>
  <c r="P18" i="5" s="1"/>
  <c r="P19" i="5" a="1"/>
  <c r="P19" i="5" s="1"/>
  <c r="P20" i="5" a="1"/>
  <c r="P20" i="5" s="1"/>
  <c r="P21" i="5" a="1"/>
  <c r="P21" i="5" s="1"/>
  <c r="P22" i="5" a="1"/>
  <c r="P22" i="5" s="1"/>
  <c r="P23" i="5" a="1"/>
  <c r="P23" i="5" s="1"/>
  <c r="P24" i="5" a="1"/>
  <c r="P24" i="5" s="1"/>
  <c r="P25" i="5" a="1"/>
  <c r="P25" i="5" s="1"/>
  <c r="P26" i="5" a="1"/>
  <c r="P26" i="5" s="1"/>
  <c r="P27" i="5" a="1"/>
  <c r="P27" i="5" s="1"/>
  <c r="P28" i="5" a="1"/>
  <c r="P28" i="5" s="1"/>
  <c r="P29" i="5" a="1"/>
  <c r="P29" i="5" s="1"/>
  <c r="P30" i="5" a="1"/>
  <c r="P30" i="5" s="1"/>
  <c r="P31" i="5" a="1"/>
  <c r="P31" i="5" s="1"/>
  <c r="P32" i="5" a="1"/>
  <c r="P32" i="5" s="1"/>
  <c r="P33" i="5" a="1"/>
  <c r="P33" i="5" s="1"/>
  <c r="P34" i="5" a="1"/>
  <c r="P34" i="5" s="1"/>
  <c r="P35" i="5" a="1"/>
  <c r="P35" i="5" s="1"/>
  <c r="P36" i="5" a="1"/>
  <c r="P36" i="5" s="1"/>
  <c r="P37" i="5" a="1"/>
  <c r="P37" i="5" s="1"/>
  <c r="P38" i="5" a="1"/>
  <c r="P38" i="5" s="1"/>
  <c r="P39" i="5" a="1"/>
  <c r="P39" i="5" s="1"/>
  <c r="P40" i="5" a="1"/>
  <c r="P40" i="5" s="1"/>
  <c r="P41" i="5" a="1"/>
  <c r="P41" i="5" s="1"/>
  <c r="P42" i="5" a="1"/>
  <c r="P42" i="5" s="1"/>
  <c r="P43" i="5" a="1"/>
  <c r="P43" i="5" s="1"/>
  <c r="P44" i="5" a="1"/>
  <c r="P44" i="5" s="1"/>
  <c r="P45" i="5" a="1"/>
  <c r="P45" i="5" s="1"/>
  <c r="P46" i="5" a="1"/>
  <c r="P46" i="5" s="1"/>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H8" i="9" s="1" a="1"/>
  <c r="H8" i="9" s="1"/>
  <c r="N6" i="4"/>
  <c r="N7" i="4"/>
  <c r="N8" i="4"/>
  <c r="N9" i="4"/>
  <c r="N10" i="4"/>
  <c r="N11" i="4"/>
  <c r="K6" i="4" a="1"/>
  <c r="K6" i="4" s="1"/>
  <c r="K7" i="4" a="1"/>
  <c r="K7" i="4" s="1"/>
  <c r="K8" i="4" a="1"/>
  <c r="K8" i="4" s="1"/>
  <c r="K9" i="4" a="1"/>
  <c r="K9" i="4" s="1"/>
  <c r="K10" i="4" a="1"/>
  <c r="K10" i="4" s="1"/>
  <c r="K11" i="4" a="1"/>
  <c r="K11" i="4" s="1"/>
  <c r="J6" i="4"/>
  <c r="J7" i="4"/>
  <c r="J8" i="4"/>
  <c r="J9" i="4"/>
  <c r="J10" i="4"/>
  <c r="J11" i="4"/>
  <c r="G6" i="3" a="1"/>
  <c r="G6" i="3" s="1"/>
  <c r="I6" i="3" s="1"/>
  <c r="G7" i="3" a="1"/>
  <c r="G7" i="3" s="1"/>
  <c r="I7" i="3" s="1"/>
  <c r="G8" i="3" a="1"/>
  <c r="G8" i="3" s="1"/>
  <c r="I8" i="3" s="1"/>
  <c r="G9" i="3" a="1"/>
  <c r="G9" i="3" s="1"/>
  <c r="I9" i="3" s="1"/>
  <c r="G10" i="3" a="1"/>
  <c r="G10" i="3" s="1"/>
  <c r="I10" i="3" s="1"/>
  <c r="G11" i="3" a="1"/>
  <c r="G11" i="3" s="1"/>
  <c r="I11" i="3" s="1"/>
  <c r="G12" i="3" a="1"/>
  <c r="G12" i="3" s="1"/>
  <c r="I12" i="3" s="1"/>
  <c r="G13" i="3" a="1"/>
  <c r="G13" i="3" s="1"/>
  <c r="I13" i="3" s="1"/>
  <c r="G14" i="3" a="1"/>
  <c r="G14" i="3" s="1"/>
  <c r="I14" i="3" s="1"/>
  <c r="G15" i="3" a="1"/>
  <c r="G15" i="3" s="1"/>
  <c r="I15" i="3" s="1"/>
  <c r="K11" i="10" l="1" a="1"/>
  <c r="K11" i="10" s="1"/>
  <c r="L6" i="4"/>
  <c r="M12" i="4"/>
  <c r="L12" i="4"/>
  <c r="L8" i="4"/>
  <c r="L11" i="4"/>
  <c r="L9" i="4"/>
  <c r="J70" i="11" a="1"/>
  <c r="J70" i="11" s="1"/>
  <c r="D14" i="11" a="1"/>
  <c r="D14" i="11" s="1"/>
  <c r="L7" i="4"/>
  <c r="B32" i="8" a="1"/>
  <c r="B32" i="8" s="1"/>
  <c r="C3" i="1" a="1"/>
  <c r="C3" i="1" s="1"/>
  <c r="H11" i="10" a="1"/>
  <c r="H11" i="10" s="1"/>
  <c r="L10" i="4"/>
  <c r="E11" i="10" a="1"/>
  <c r="E11" i="10" s="1"/>
  <c r="C20" i="1" a="1"/>
  <c r="C20" i="1" s="1"/>
  <c r="B11" i="10" a="1"/>
  <c r="B11" i="10" s="1"/>
  <c r="L13" i="11" a="1"/>
  <c r="L13" i="11" s="1"/>
  <c r="B18" i="7" a="1"/>
  <c r="B18" i="7" s="1"/>
  <c r="C58" i="1" a="1"/>
  <c r="C58" i="1" s="1"/>
  <c r="B14" i="11" a="1"/>
  <c r="B14" i="11" s="1"/>
  <c r="C59" i="1" a="1"/>
  <c r="C59" i="1" s="1"/>
  <c r="F14" i="11" s="1"/>
  <c r="D13" i="11" a="1"/>
  <c r="D13" i="11" s="1"/>
  <c r="N11" i="10" a="1"/>
  <c r="N11" i="10" s="1"/>
  <c r="C8" i="6" a="1"/>
  <c r="D8" i="6" a="1"/>
  <c r="D8" i="6" s="1"/>
  <c r="C10" i="1" a="1"/>
  <c r="C10" i="1" s="1"/>
  <c r="O70" i="11" a="1"/>
  <c r="O70" i="11" s="1"/>
  <c r="H8" i="6" a="1"/>
  <c r="H8" i="6" s="1"/>
  <c r="B4" i="12"/>
  <c r="F8" i="6" a="1"/>
  <c r="B8" i="7" a="1"/>
  <c r="B8" i="7" s="1"/>
  <c r="F13" i="7" a="1"/>
  <c r="F13" i="7" s="1"/>
  <c r="B13" i="7" a="1"/>
  <c r="B13" i="7" s="1"/>
  <c r="E12" i="7" a="1"/>
  <c r="E12" i="7" s="1"/>
  <c r="H11" i="7" a="1"/>
  <c r="H11" i="7" s="1"/>
  <c r="D11" i="7" a="1"/>
  <c r="D11" i="7" s="1"/>
  <c r="G10" i="7" a="1"/>
  <c r="G10" i="7" s="1"/>
  <c r="C10" i="7" a="1"/>
  <c r="C10" i="7" s="1"/>
  <c r="F9" i="7" a="1"/>
  <c r="F9" i="7" s="1"/>
  <c r="B9" i="7" a="1"/>
  <c r="B9" i="7" s="1"/>
  <c r="E8" i="7" a="1"/>
  <c r="E8" i="7" s="1"/>
  <c r="E13" i="7" a="1"/>
  <c r="E13" i="7" s="1"/>
  <c r="H12" i="7" a="1"/>
  <c r="H12" i="7" s="1"/>
  <c r="D12" i="7" a="1"/>
  <c r="D12" i="7" s="1"/>
  <c r="G11" i="7" a="1"/>
  <c r="G11" i="7" s="1"/>
  <c r="C11" i="7" a="1"/>
  <c r="C11" i="7" s="1"/>
  <c r="F10" i="7" a="1"/>
  <c r="F10" i="7" s="1"/>
  <c r="B10" i="7" a="1"/>
  <c r="B10" i="7" s="1"/>
  <c r="E9" i="7" a="1"/>
  <c r="E9" i="7" s="1"/>
  <c r="H8" i="7" a="1"/>
  <c r="H8" i="7" s="1"/>
  <c r="D8" i="7" a="1"/>
  <c r="D8" i="7" s="1"/>
  <c r="H13" i="7" a="1"/>
  <c r="H13" i="7" s="1"/>
  <c r="D13" i="7" a="1"/>
  <c r="D13" i="7" s="1"/>
  <c r="G12" i="7" a="1"/>
  <c r="G12" i="7" s="1"/>
  <c r="C12" i="7" a="1"/>
  <c r="C12" i="7" s="1"/>
  <c r="F11" i="7" a="1"/>
  <c r="F11" i="7" s="1"/>
  <c r="B11" i="7" a="1"/>
  <c r="B11" i="7" s="1"/>
  <c r="E10" i="7" a="1"/>
  <c r="E10" i="7" s="1"/>
  <c r="H9" i="7" a="1"/>
  <c r="H9" i="7" s="1"/>
  <c r="D9" i="7" a="1"/>
  <c r="D9" i="7" s="1"/>
  <c r="G8" i="7" a="1"/>
  <c r="G8" i="7" s="1"/>
  <c r="C8" i="7" a="1"/>
  <c r="C8" i="7" s="1"/>
  <c r="G13" i="7" a="1"/>
  <c r="G13" i="7" s="1"/>
  <c r="C13" i="7" a="1"/>
  <c r="C13" i="7" s="1"/>
  <c r="F12" i="7" a="1"/>
  <c r="F12" i="7" s="1"/>
  <c r="B12" i="7" a="1"/>
  <c r="B12" i="7" s="1"/>
  <c r="E11" i="7" a="1"/>
  <c r="E11" i="7" s="1"/>
  <c r="H10" i="7" a="1"/>
  <c r="H10" i="7" s="1"/>
  <c r="D10" i="7" a="1"/>
  <c r="D10" i="7" s="1"/>
  <c r="G9" i="7" a="1"/>
  <c r="G9" i="7" s="1"/>
  <c r="C9" i="7" a="1"/>
  <c r="C9" i="7" s="1"/>
  <c r="F8" i="7" a="1"/>
  <c r="F8" i="7" s="1"/>
  <c r="K20" i="8"/>
  <c r="K15" i="8"/>
  <c r="B9" i="8" a="1"/>
  <c r="B9" i="8" s="1"/>
  <c r="N13" i="10" a="1"/>
  <c r="N13" i="10" s="1"/>
  <c r="K13" i="10" a="1"/>
  <c r="K13" i="10" s="1"/>
  <c r="H13" i="10" a="1"/>
  <c r="H13" i="10" s="1"/>
  <c r="E13" i="10" a="1"/>
  <c r="E13" i="10" s="1"/>
  <c r="B13" i="10" a="1"/>
  <c r="B13" i="10" s="1"/>
  <c r="B56" i="11" a="1"/>
  <c r="B56" i="11" s="1"/>
  <c r="J13" i="11"/>
  <c r="H13" i="11"/>
  <c r="E45" i="1" a="1"/>
  <c r="E45" i="1" s="1"/>
  <c r="D45" i="1" a="1"/>
  <c r="D45" i="1" s="1"/>
  <c r="C45" i="1" a="1"/>
  <c r="C45" i="1" s="1"/>
  <c r="E20" i="1" a="1"/>
  <c r="H6" i="3"/>
  <c r="M11" i="4"/>
  <c r="M10" i="4"/>
  <c r="O10" i="4" s="1"/>
  <c r="M9" i="4"/>
  <c r="H13" i="3"/>
  <c r="H8" i="3"/>
  <c r="M7" i="4"/>
  <c r="O7" i="4" s="1"/>
  <c r="H9" i="3"/>
  <c r="H11" i="3"/>
  <c r="H7" i="3"/>
  <c r="M8" i="4"/>
  <c r="O8" i="4" s="1"/>
  <c r="H10" i="3"/>
  <c r="H15" i="3"/>
  <c r="H14" i="3"/>
  <c r="M6" i="4"/>
  <c r="H12" i="3"/>
  <c r="O12" i="4" l="1"/>
  <c r="O11" i="4"/>
  <c r="O9" i="4"/>
  <c r="C60" i="1"/>
  <c r="B13" i="11"/>
  <c r="J5" i="11"/>
  <c r="C8" i="6"/>
  <c r="G8" i="6" s="1" a="1"/>
  <c r="G8" i="6" s="1"/>
  <c r="O6" i="4"/>
  <c r="F8" i="6"/>
  <c r="E20" i="1"/>
  <c r="D20" i="1" a="1"/>
  <c r="D20" i="1" s="1"/>
  <c r="B70" i="11" l="1" a="1"/>
  <c r="B70" i="11" s="1"/>
  <c r="C63" i="1"/>
  <c r="F13" i="11"/>
  <c r="C61" i="1"/>
  <c r="E8" i="6" a="1"/>
  <c r="B27" i="6" a="1"/>
  <c r="B27" i="6" s="1"/>
  <c r="E8" i="6" l="1"/>
  <c r="I8" i="6" a="1"/>
  <c r="I8" i="6" s="1"/>
  <c r="J8" i="6" s="1" a="1"/>
  <c r="J8" i="6" s="1"/>
  <c r="K8" i="6" l="1" a="1"/>
  <c r="K8" i="6" s="1"/>
  <c r="L8" i="6" s="1" a="1"/>
  <c r="L8" i="6" s="1"/>
  <c r="N13" i="11" a="1"/>
  <c r="N13" i="11" s="1"/>
  <c r="N14" i="11" s="1"/>
  <c r="K30" i="8" a="1"/>
  <c r="K30" i="8" s="1"/>
  <c r="K31" i="8" l="1" a="1"/>
  <c r="K31" i="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<sst xmlns="http://schemas.openxmlformats.org/spreadsheetml/2006/main" count="664" uniqueCount="354">
  <si>
    <t>Settings</t>
  </si>
  <si>
    <t>Statuses (board columns) and priorities used in every dropdown</t>
  </si>
  <si>
    <t>⌂  Home</t>
  </si>
  <si>
    <t>Statuses  (= board lanes, top to bottom = left to right)</t>
  </si>
  <si>
    <t>Status</t>
  </si>
  <si>
    <t>Meaning</t>
  </si>
  <si>
    <t>To Do</t>
  </si>
  <si>
    <t>Not started yet</t>
  </si>
  <si>
    <t>In Progress</t>
  </si>
  <si>
    <t>Someone is working on it</t>
  </si>
  <si>
    <t>Review</t>
  </si>
  <si>
    <t>Waiting for review / approval</t>
  </si>
  <si>
    <t>Blocked</t>
  </si>
  <si>
    <t>Stuck - needs help</t>
  </si>
  <si>
    <t>Done</t>
  </si>
  <si>
    <t>Finished (keep this LAST - it counts as complete)</t>
  </si>
  <si>
    <t>Rename freely. Keep exactly 5 rows; the LAST row is treated as 'done'.</t>
  </si>
  <si>
    <t>Priorities</t>
  </si>
  <si>
    <t>Priority</t>
  </si>
  <si>
    <t>Urgent</t>
  </si>
  <si>
    <t>Drop everything</t>
  </si>
  <si>
    <t>High</t>
  </si>
  <si>
    <t>This week</t>
  </si>
  <si>
    <t>Normal</t>
  </si>
  <si>
    <t>Planned</t>
  </si>
  <si>
    <t>Low</t>
  </si>
  <si>
    <t>Nice to have</t>
  </si>
  <si>
    <t>Months (used by the Calendar)</t>
  </si>
  <si>
    <t>Month</t>
  </si>
  <si>
    <t>January</t>
  </si>
  <si>
    <t>February</t>
  </si>
  <si>
    <t>March</t>
  </si>
  <si>
    <t>April</t>
  </si>
  <si>
    <t>May</t>
  </si>
  <si>
    <t>June</t>
  </si>
  <si>
    <t>July</t>
  </si>
  <si>
    <t>August</t>
  </si>
  <si>
    <t>September</t>
  </si>
  <si>
    <t>October</t>
  </si>
  <si>
    <t>November</t>
  </si>
  <si>
    <t>December</t>
  </si>
  <si>
    <t>Team</t>
  </si>
  <si>
    <t>Everyone who can own tasks. Add a row at the bottom to add a member.</t>
  </si>
  <si>
    <t>Name</t>
  </si>
  <si>
    <t>Email</t>
  </si>
  <si>
    <t>Role</t>
  </si>
  <si>
    <t>Department</t>
  </si>
  <si>
    <t>Capacity</t>
  </si>
  <si>
    <t>Open Tasks</t>
  </si>
  <si>
    <t>Overdue</t>
  </si>
  <si>
    <t>Load</t>
  </si>
  <si>
    <t>Sara Ali</t>
  </si>
  <si>
    <t>sara@company.com</t>
  </si>
  <si>
    <t>Team Lead</t>
  </si>
  <si>
    <t>Management</t>
  </si>
  <si>
    <t>Omar Haddad</t>
  </si>
  <si>
    <t>omar@company.com</t>
  </si>
  <si>
    <t>Mobile Developer</t>
  </si>
  <si>
    <t>Engineering</t>
  </si>
  <si>
    <t>Lina Park</t>
  </si>
  <si>
    <t>lina@company.com</t>
  </si>
  <si>
    <t>Marketing Manager</t>
  </si>
  <si>
    <t>Marketing</t>
  </si>
  <si>
    <t>Jack Moore</t>
  </si>
  <si>
    <t>jack@company.com</t>
  </si>
  <si>
    <t>Data Analyst</t>
  </si>
  <si>
    <t>Analytics</t>
  </si>
  <si>
    <t>Maya Chen</t>
  </si>
  <si>
    <t>maya@company.com</t>
  </si>
  <si>
    <t>Customer Success</t>
  </si>
  <si>
    <t>Operations</t>
  </si>
  <si>
    <t>Ravi Kumar</t>
  </si>
  <si>
    <t>ravi@company.com</t>
  </si>
  <si>
    <t>Finance Analyst</t>
  </si>
  <si>
    <t>Finance</t>
  </si>
  <si>
    <t>Nora Fischer</t>
  </si>
  <si>
    <t>nora@company.com</t>
  </si>
  <si>
    <t>UX Designer</t>
  </si>
  <si>
    <t>Design</t>
  </si>
  <si>
    <t>Diego Santos</t>
  </si>
  <si>
    <t>diego@company.com</t>
  </si>
  <si>
    <t>Web Developer</t>
  </si>
  <si>
    <t>Aisha Bello</t>
  </si>
  <si>
    <t>aisha@company.com</t>
  </si>
  <si>
    <t>Content Writer</t>
  </si>
  <si>
    <t>Tom Becker</t>
  </si>
  <si>
    <t>tom@company.com</t>
  </si>
  <si>
    <t>QA Engineer</t>
  </si>
  <si>
    <t>Blue headers = you type.  Grey headers = calculated.  Capacity = how many open tasks this person can comfortably hold.</t>
  </si>
  <si>
    <t>Projects</t>
  </si>
  <si>
    <t>Every project the team runs. Add a row at the bottom - it appears in the Room instantly.</t>
  </si>
  <si>
    <t>Project</t>
  </si>
  <si>
    <t>Code</t>
  </si>
  <si>
    <t>Owner</t>
  </si>
  <si>
    <t>Start Date</t>
  </si>
  <si>
    <t>Target Date</t>
  </si>
  <si>
    <t>Description</t>
  </si>
  <si>
    <t>Added By</t>
  </si>
  <si>
    <t>Added On</t>
  </si>
  <si>
    <t>Tasks</t>
  </si>
  <si>
    <t>Progress</t>
  </si>
  <si>
    <t>Days Left</t>
  </si>
  <si>
    <t>Health</t>
  </si>
  <si>
    <t>Website Redesign</t>
  </si>
  <si>
    <t>WEB</t>
  </si>
  <si>
    <t>New brand look, faster pages and a smoother signup flow</t>
  </si>
  <si>
    <t>Q4 Marketing Campaign</t>
  </si>
  <si>
    <t>MKT</t>
  </si>
  <si>
    <t>Holiday campaign across email, social and paid ads</t>
  </si>
  <si>
    <t>Mobile App v2</t>
  </si>
  <si>
    <t>APP</t>
  </si>
  <si>
    <t>Offline mode, push notifications and dark theme</t>
  </si>
  <si>
    <t>Customer Onboarding</t>
  </si>
  <si>
    <t>ONB</t>
  </si>
  <si>
    <t>Cut time-to-first-value from 14 to 5 days</t>
  </si>
  <si>
    <t>General / Ops</t>
  </si>
  <si>
    <t>OPS</t>
  </si>
  <si>
    <t>Recurring team work that isn't part of a project</t>
  </si>
  <si>
    <t>Annual Report 2026</t>
  </si>
  <si>
    <t>RPT</t>
  </si>
  <si>
    <t>Collect the year's KPIs and design the annual report</t>
  </si>
  <si>
    <t>Blue headers = you type (Code = 2-4 letters shown on cards).  Grey headers = calculated automatically.</t>
  </si>
  <si>
    <t>The team's single source of truth. Type in the empty row under the table to add a task.</t>
  </si>
  <si>
    <t>ID</t>
  </si>
  <si>
    <t>Task</t>
  </si>
  <si>
    <t>Due Date</t>
  </si>
  <si>
    <t>Tags</t>
  </si>
  <si>
    <t>Notes</t>
  </si>
  <si>
    <t>Completed On</t>
  </si>
  <si>
    <t>State</t>
  </si>
  <si>
    <t>On Time</t>
  </si>
  <si>
    <t>Card</t>
  </si>
  <si>
    <t>SortKey</t>
  </si>
  <si>
    <t>DueKey</t>
  </si>
  <si>
    <t>Visible</t>
  </si>
  <si>
    <t>Finalize homepage wireframes</t>
  </si>
  <si>
    <t>design</t>
  </si>
  <si>
    <t>Build new pricing page</t>
  </si>
  <si>
    <t>frontend</t>
  </si>
  <si>
    <t>Write pricing page copy</t>
  </si>
  <si>
    <t>copy</t>
  </si>
  <si>
    <t>QA signup flow on mobile</t>
  </si>
  <si>
    <t>qa, mobile</t>
  </si>
  <si>
    <t>Migrate blog to new CMS</t>
  </si>
  <si>
    <t>backend</t>
  </si>
  <si>
    <t>Accessibility audit</t>
  </si>
  <si>
    <t>a11y</t>
  </si>
  <si>
    <t>Set up analytics events</t>
  </si>
  <si>
    <t>data</t>
  </si>
  <si>
    <t>Optimize image loading</t>
  </si>
  <si>
    <t>performance</t>
  </si>
  <si>
    <t>Launch-day checklist</t>
  </si>
  <si>
    <t>launch</t>
  </si>
  <si>
    <t>Campaign brief &amp; goals</t>
  </si>
  <si>
    <t>strategy</t>
  </si>
  <si>
    <t>Holiday email sequence</t>
  </si>
  <si>
    <t>email</t>
  </si>
  <si>
    <t>Social media calendar</t>
  </si>
  <si>
    <t>social</t>
  </si>
  <si>
    <t>Paid ads creative</t>
  </si>
  <si>
    <t>ads, design</t>
  </si>
  <si>
    <t>Influencer shortlist</t>
  </si>
  <si>
    <t>partners</t>
  </si>
  <si>
    <t>Landing page A/B test</t>
  </si>
  <si>
    <t>data, web</t>
  </si>
  <si>
    <t>Budget approval</t>
  </si>
  <si>
    <t>finance</t>
  </si>
  <si>
    <t>Press release draft</t>
  </si>
  <si>
    <t>pr</t>
  </si>
  <si>
    <t>Offline sync engine</t>
  </si>
  <si>
    <t>core</t>
  </si>
  <si>
    <t>Push notification service</t>
  </si>
  <si>
    <t>Dark theme UI</t>
  </si>
  <si>
    <t>Regression test suite</t>
  </si>
  <si>
    <t>qa</t>
  </si>
  <si>
    <t>App store screenshots</t>
  </si>
  <si>
    <t>store</t>
  </si>
  <si>
    <t>Crash reporting setup</t>
  </si>
  <si>
    <t>Beta tester feedback round</t>
  </si>
  <si>
    <t>feedback</t>
  </si>
  <si>
    <t>Release notes v2.0</t>
  </si>
  <si>
    <t>docs</t>
  </si>
  <si>
    <t>Map current onboarding journey</t>
  </si>
  <si>
    <t>research</t>
  </si>
  <si>
    <t>Welcome email series</t>
  </si>
  <si>
    <t>In-app product tour</t>
  </si>
  <si>
    <t>Onboarding success metrics</t>
  </si>
  <si>
    <t>Customer interview round</t>
  </si>
  <si>
    <t>Help center refresh</t>
  </si>
  <si>
    <t>Kickoff &amp; timeline</t>
  </si>
  <si>
    <t>planning</t>
  </si>
  <si>
    <t>Collect department KPIs</t>
  </si>
  <si>
    <t>Report design template</t>
  </si>
  <si>
    <t>Weekly team sync notes</t>
  </si>
  <si>
    <t>ops</t>
  </si>
  <si>
    <t>Vendor contract renewal</t>
  </si>
  <si>
    <t>Q4 hiring plan</t>
  </si>
  <si>
    <t>people</t>
  </si>
  <si>
    <t>Dashboard data clean-up</t>
  </si>
  <si>
    <t>Security awareness training</t>
  </si>
  <si>
    <t>it</t>
  </si>
  <si>
    <t>Customer churn analysis</t>
  </si>
  <si>
    <t>Blue headers = you type (use the dropdowns).  Grey headers = automatic - don't type there.  Dates: press Ctrl+; for today.  Don't sort/insert in the middle - add new tasks at the bottom so IDs stay stable.</t>
  </si>
  <si>
    <t>→ See it on the Board</t>
  </si>
  <si>
    <t>→ Dashboard</t>
  </si>
  <si>
    <t>When</t>
  </si>
  <si>
    <t>Who</t>
  </si>
  <si>
    <t>Message</t>
  </si>
  <si>
    <t>About</t>
  </si>
  <si>
    <t>Welcome to the Team Room! Post updates here so everyone sees them live.</t>
  </si>
  <si>
    <t>Offline sync is passing all tests on Android, iOS next.</t>
  </si>
  <si>
    <t>Need final sign-off on the holiday email subject lines by Monday.</t>
  </si>
  <si>
    <t>Signup flow breaks on small screens - logging details now.</t>
  </si>
  <si>
    <t>Kicked off the Annual Report 2026 project - KPIs due in two weeks.</t>
  </si>
  <si>
    <t>Interviews booked with 6 customers this week.</t>
  </si>
  <si>
    <t>Pricing page is on staging, feedback welcome!</t>
  </si>
  <si>
    <t>Dark theme shipped. Screenshots for the store are next.</t>
  </si>
  <si>
    <t>Helper calculations for charts - do not edit (sheet is hidden)</t>
  </si>
  <si>
    <t>Open</t>
  </si>
  <si>
    <t>Member</t>
  </si>
  <si>
    <t>Week of</t>
  </si>
  <si>
    <t>Label</t>
  </si>
  <si>
    <t>Added</t>
  </si>
  <si>
    <t>Completed</t>
  </si>
  <si>
    <t>Total visible</t>
  </si>
  <si>
    <t>Done visible</t>
  </si>
  <si>
    <t>Remaining</t>
  </si>
  <si>
    <t>Ring title</t>
  </si>
  <si>
    <t>Team Dashboard</t>
  </si>
  <si>
    <t>Live from the Tasks sheet  ·  click the slicers to filter every chart, card and list</t>
  </si>
  <si>
    <t>FILTERS</t>
  </si>
  <si>
    <t>TOTAL TASKS</t>
  </si>
  <si>
    <t>OPEN</t>
  </si>
  <si>
    <t>COMPLETED</t>
  </si>
  <si>
    <t>OVERDUE</t>
  </si>
  <si>
    <t>DUE IN 7 DAYS</t>
  </si>
  <si>
    <t>BLOCKED</t>
  </si>
  <si>
    <t>TEAM SCORE</t>
  </si>
  <si>
    <t>🔥  Needs attention</t>
  </si>
  <si>
    <t>Overdue or Urgent tasks that are still open (top 10)</t>
  </si>
  <si>
    <t>PRIORITY</t>
  </si>
  <si>
    <t>DUE</t>
  </si>
  <si>
    <t>STATE</t>
  </si>
  <si>
    <t>OWNER</t>
  </si>
  <si>
    <t>PROJECT</t>
  </si>
  <si>
    <t>TASK</t>
  </si>
  <si>
    <t>📁  Project health</t>
  </si>
  <si>
    <t>🔥  Who's working on what</t>
  </si>
  <si>
    <t>HEALTH</t>
  </si>
  <si>
    <t>PROGRESS</t>
  </si>
  <si>
    <t>DONE</t>
  </si>
  <si>
    <t>MEMBER</t>
  </si>
  <si>
    <t>Tip: slicers filter the Tasks table for everyone editing at the same moment - clear them when you're done (the ⨯ icon on each slicer).</t>
  </si>
  <si>
    <t>Board</t>
  </si>
  <si>
    <t>Kanban view of every task  ·  change a task's Status on the Tasks sheet and its card moves here instantly</t>
  </si>
  <si>
    <t>🔍  SEARCH CARDS</t>
  </si>
  <si>
    <t>＋ Add or edit tasks on the Tasks sheet</t>
  </si>
  <si>
    <t>FILTERS  (shared with the Dashboard - type a word in Search and press Enter)</t>
  </si>
  <si>
    <t>Cards are sorted by priority, then due date. Colored edge = priority (red Urgent · amber High · indigo Normal · grey Low). Up to 25 cards per lane.</t>
  </si>
  <si>
    <t>Team Room</t>
  </si>
  <si>
    <t>Everything that happens, live: new projects, new tasks, completed work and team messages</t>
  </si>
  <si>
    <t>🚀  NEWEST PROJECT</t>
  </si>
  <si>
    <t>🆕  LATEST TASK</t>
  </si>
  <si>
    <t>📡  Activity feed  (newest first)</t>
  </si>
  <si>
    <t>WHEN</t>
  </si>
  <si>
    <t>WHO</t>
  </si>
  <si>
    <t>WHAT HAPPENED</t>
  </si>
  <si>
    <t>DATE</t>
  </si>
  <si>
    <t>✍  Post to the room</t>
  </si>
  <si>
    <t>Type in the first empty row under this table. When: press Ctrl+; then space then Ctrl+Shift+;  (date + time).</t>
  </si>
  <si>
    <t>My Work</t>
  </si>
  <si>
    <t>Your personal to-do list across every project  ·  pick your name below</t>
  </si>
  <si>
    <t>I AM</t>
  </si>
  <si>
    <t>◀ click the cell and use the dropdown arrow. (Everyone shares this cell - each person just picks their own name.)</t>
  </si>
  <si>
    <t>📋  My open tasks</t>
  </si>
  <si>
    <t>STATUS</t>
  </si>
  <si>
    <t>DAYS</t>
  </si>
  <si>
    <t>✅  Recently completed</t>
  </si>
  <si>
    <t>OPEN TASKS</t>
  </si>
  <si>
    <t>DUE THIS WEEK</t>
  </si>
  <si>
    <t>MY SCORE</t>
  </si>
  <si>
    <t>Calendar</t>
  </si>
  <si>
    <t>Tasks by due date  ·  ⚠ overdue   ✓ done   • open  ·  Dashboard slicers apply here too</t>
  </si>
  <si>
    <t>MONTH  ▸</t>
  </si>
  <si>
    <t>YEAR  ▸</t>
  </si>
  <si>
    <t>Pick another month/year to browse. Type =YEAR(TODAY()) back to follow today.</t>
  </si>
  <si>
    <t>MONDAY</t>
  </si>
  <si>
    <t>TUESDAY</t>
  </si>
  <si>
    <t>WEDNESDAY</t>
  </si>
  <si>
    <t>THURSDAY</t>
  </si>
  <si>
    <t>FRIDAY</t>
  </si>
  <si>
    <t>SATURDAY</t>
  </si>
  <si>
    <t>SUNDAY</t>
  </si>
  <si>
    <t>🗓  Coming up - next 14 days</t>
  </si>
  <si>
    <t>Scorecards</t>
  </si>
  <si>
    <t>Who's delivering, which projects are healthy  ·  score = 50% completion + 30% on-time + 20% not overdue</t>
  </si>
  <si>
    <t>🏆  Team scorecard</t>
  </si>
  <si>
    <t>ASSIGNED</t>
  </si>
  <si>
    <t>COMPLETION</t>
  </si>
  <si>
    <t>ON-TIME</t>
  </si>
  <si>
    <t>SCORE</t>
  </si>
  <si>
    <t>RATING</t>
  </si>
  <si>
    <t>RANK</t>
  </si>
  <si>
    <t>BADGE</t>
  </si>
  <si>
    <t>📁  Project scorecard</t>
  </si>
  <si>
    <t>CODE</t>
  </si>
  <si>
    <t>TASKS</t>
  </si>
  <si>
    <t>DAYS LEFT</t>
  </si>
  <si>
    <t>TARGET</t>
  </si>
  <si>
    <t>TeamBoard</t>
  </si>
  <si>
    <t>Projects, tasks, boards and live team activity - all in one shared workbook.</t>
  </si>
  <si>
    <t>Where do you want to go?</t>
  </si>
  <si>
    <t>📊  Dashboard</t>
  </si>
  <si>
    <t>KPIs, charts and health</t>
  </si>
  <si>
    <t>🗂  Board</t>
  </si>
  <si>
    <t>Kanban lanes by status</t>
  </si>
  <si>
    <t>💬  Room</t>
  </si>
  <si>
    <t>Live feed &amp; team chat</t>
  </si>
  <si>
    <t>👤  My Work</t>
  </si>
  <si>
    <t>Your personal to-do list</t>
  </si>
  <si>
    <t>📅  Calendar</t>
  </si>
  <si>
    <t>Tasks by due date</t>
  </si>
  <si>
    <t>🏆  Scorecards</t>
  </si>
  <si>
    <t>Team &amp; project scores</t>
  </si>
  <si>
    <t>✅  Tasks</t>
  </si>
  <si>
    <t>Add &amp; update tasks</t>
  </si>
  <si>
    <t>📁  Projects</t>
  </si>
  <si>
    <t>Add &amp; track projects</t>
  </si>
  <si>
    <t>How it works</t>
  </si>
  <si>
    <t>1   Add your team</t>
  </si>
  <si>
    <t>Team sheet: one row per person (name, email, role).</t>
  </si>
  <si>
    <t>2   Create projects</t>
  </si>
  <si>
    <t>Projects sheet: add a row - it pops up in the Room.</t>
  </si>
  <si>
    <t>3   Add tasks</t>
  </si>
  <si>
    <t>Tasks sheet: type under the table, use the dropdowns.</t>
  </si>
  <si>
    <t>4   Move work along</t>
  </si>
  <si>
    <t>Change a task's Status - its card moves on the Board.</t>
  </si>
  <si>
    <t>Legend</t>
  </si>
  <si>
    <t>Header</t>
  </si>
  <si>
    <t>Blue column header = you type here (dropdowns help).</t>
  </si>
  <si>
    <t>Grey column header = calculated automatically - don't type.</t>
  </si>
  <si>
    <t>Dashboard, Board, Room, My Work, Calendar = views only.</t>
  </si>
  <si>
    <t>Sample data is included - overwrite or delete those rows when you start.</t>
  </si>
  <si>
    <t>Share it: save to OneDrive or SharePoint → Share → give your team 'Can edit'. Everyone sees changes live in Excel for the web or the Excel app (Microsoft 365). No macros - works for free in the browser.</t>
  </si>
  <si>
    <t>ExCon</t>
  </si>
  <si>
    <t>UPA</t>
  </si>
  <si>
    <t xml:space="preserve">Critical Preparation </t>
  </si>
  <si>
    <t>1st Priority task</t>
  </si>
  <si>
    <t>Operational</t>
  </si>
  <si>
    <t>added By Dr Aly</t>
  </si>
  <si>
    <t>Back Log</t>
  </si>
  <si>
    <t>It is on hold for future excution</t>
  </si>
  <si>
    <t>Assigned By Chairman</t>
  </si>
  <si>
    <t>Chairman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</si>
</sst>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d\ mmm\ yyyy"/>
    <numFmt numFmtId="165" formatCode="d\ mmm\ h:mm\ AM/PM"/>
    <numFmt numFmtId="166" formatCode="&quot;✓&quot;;;&quot;✗&quot;"/>
    <numFmt numFmtId="167" formatCode="0;[Red]\-0;&quot;today&quot;"/>
    <numFmt numFmtId="168" formatCode="d\ mmm"/>
    <numFmt numFmtId="169" formatCode="0;\-0;&quot;&quot;"/>
    <numFmt numFmtId="170" formatCode="ddd\ d\ mmm"/>
    <numFmt numFmtId="171" formatCode="d\ mmm\ yy"/>
  </numFmts>
  <fonts count="35" x14ac:knownFonts="1">
    <font>
      <sz val="10"/>
      <color theme="1"/>
      <name val="Segoe UI"/>
      <family val="2"/>
    </font>
    <font>
      <sz val="11"/>
      <color theme="1"/>
      <name val="Segoe UI"/>
      <family val="2"/>
    </font>
    <font>
      <b/>
      <sz val="10"/>
      <color rgb="FFFFFFFF"/>
      <name val="Segoe UI"/>
      <family val="2"/>
    </font>
    <font>
      <b/>
      <sz val="20"/>
      <color rgb="FFFFFFFF"/>
      <name val="Segoe UI"/>
      <family val="2"/>
    </font>
    <font>
      <sz val="10"/>
      <color rgb="FFAEB4D0"/>
      <name val="Segoe UI"/>
      <family val="2"/>
    </font>
    <font>
      <u/>
      <sz val="10"/>
      <color theme="10"/>
      <name val="Segoe UI"/>
      <family val="2"/>
    </font>
    <font>
      <b/>
      <sz val="10"/>
      <color rgb="FFC9CDF5"/>
      <name val="Segoe UI"/>
      <family val="2"/>
    </font>
    <font>
      <sz val="10"/>
      <color rgb="FF1F2330"/>
      <name val="Segoe UI"/>
      <family val="2"/>
    </font>
    <font>
      <b/>
      <sz val="10"/>
      <color rgb="FF1F2330"/>
      <name val="Segoe UI"/>
      <family val="2"/>
    </font>
    <font>
      <b/>
      <sz val="11"/>
      <color rgb="FF1F2330"/>
      <name val="Segoe UI"/>
      <family val="2"/>
    </font>
    <font>
      <sz val="10"/>
      <color rgb="FF6B7285"/>
      <name val="Segoe UI"/>
      <family val="2"/>
    </font>
    <font>
      <i/>
      <sz val="9"/>
      <color rgb="FF6B7285"/>
      <name val="Segoe UI"/>
      <family val="2"/>
    </font>
    <font>
      <sz val="10"/>
      <color rgb="FF4A5068"/>
      <name val="Segoe UI"/>
      <family val="2"/>
    </font>
    <font>
      <sz val="9"/>
      <color rgb="FF6B7285"/>
      <name val="Segoe UI"/>
      <family val="2"/>
    </font>
    <font>
      <b/>
      <sz val="9"/>
      <color rgb="FF5B5BD6"/>
      <name val="Segoe UI"/>
      <family val="2"/>
    </font>
    <font>
      <b/>
      <sz val="10"/>
      <color theme="1"/>
      <name val="Segoe UI"/>
      <family val="2"/>
    </font>
    <font>
      <sz val="9"/>
      <color rgb="FFAEB4D0"/>
      <name val="Segoe UI"/>
      <family val="2"/>
    </font>
    <font>
      <b/>
      <sz val="9"/>
      <color rgb="FF6B7285"/>
      <name val="Segoe UI"/>
      <family val="2"/>
    </font>
    <font>
      <b/>
      <sz val="24"/>
      <color rgb="FF1F2330"/>
      <name val="Segoe UI"/>
      <family val="2"/>
    </font>
    <font>
      <b/>
      <sz val="24"/>
      <color rgb="FF2F9E6A"/>
      <name val="Segoe UI"/>
      <family val="2"/>
    </font>
    <font>
      <b/>
      <sz val="24"/>
      <color rgb="FFE5484D"/>
      <name val="Segoe UI"/>
      <family val="2"/>
    </font>
    <font>
      <b/>
      <sz val="13"/>
      <color rgb="FF1F2330"/>
      <name val="Segoe UI"/>
      <family val="2"/>
    </font>
    <font>
      <sz val="9.5"/>
      <color rgb="FF1F2330"/>
      <name val="Segoe UI"/>
      <family val="2"/>
    </font>
    <font>
      <sz val="1"/>
      <color rgb="FFE9ECF3"/>
      <name val="Segoe UI"/>
      <family val="2"/>
    </font>
    <font>
      <b/>
      <sz val="9"/>
      <color rgb="FFFFFFFF"/>
      <name val="Segoe UI"/>
      <family val="2"/>
    </font>
    <font>
      <sz val="12"/>
      <color theme="1"/>
      <name val="Segoe UI"/>
      <family val="2"/>
    </font>
    <font>
      <b/>
      <sz val="13"/>
      <color rgb="FF5B5BD6"/>
      <name val="Segoe UI"/>
      <family val="2"/>
    </font>
    <font>
      <b/>
      <sz val="12"/>
      <color rgb="FF5B5BD6"/>
      <name val="Segoe UI"/>
      <family val="2"/>
    </font>
    <font>
      <sz val="9"/>
      <color rgb="FF1F2330"/>
      <name val="Segoe UI"/>
      <family val="2"/>
    </font>
    <font>
      <sz val="11"/>
      <color rgb="FFF19A1A"/>
      <name val="Segoe UI"/>
      <family val="2"/>
    </font>
    <font>
      <b/>
      <sz val="28"/>
      <color rgb="FFFFFFFF"/>
      <name val="Segoe UI"/>
      <family val="2"/>
    </font>
    <font>
      <sz val="12"/>
      <color rgb="FFC9CDF5"/>
      <name val="Segoe UI"/>
      <family val="2"/>
    </font>
    <font>
      <b/>
      <sz val="15"/>
      <color rgb="FFFFFFFF"/>
      <name val="Segoe UI"/>
      <family val="2"/>
    </font>
    <font>
      <sz val="9.5"/>
      <color rgb="FFF0F1FF"/>
      <name val="Segoe UI"/>
      <family val="2"/>
    </font>
    <font>
      <b/>
      <sz val="11"/>
      <color rgb="FF5B5BD6"/>
      <name val="Segoe UI"/>
      <family val="2"/>
    </font>
  </fonts>
  <fills count="18">
    <fill>
      <patternFill patternType="none"/>
    </fill>
    <fill>
      <patternFill patternType="gray125"/>
    </fill>
    <fill>
      <patternFill patternType="solid">
        <fgColor rgb="FF1E2134"/>
        <bgColor indexed="64"/>
      </patternFill>
    </fill>
    <fill>
      <patternFill patternType="solid">
        <fgColor rgb="FF5B5BD6"/>
        <bgColor indexed="64"/>
      </patternFill>
    </fill>
    <fill>
      <patternFill patternType="solid">
        <fgColor rgb="FFD9DCE6"/>
        <bgColor indexed="64"/>
      </patternFill>
    </fill>
    <fill>
      <patternFill patternType="solid">
        <fgColor rgb="FFF6F7FA"/>
        <bgColor indexed="64"/>
      </patternFill>
    </fill>
    <fill>
      <patternFill patternType="solid">
        <fgColor rgb="FFF4F6FB"/>
        <bgColor indexed="64"/>
      </patternFill>
    </fill>
    <fill>
      <patternFill patternType="solid">
        <fgColor rgb="FFFFFFFF"/>
        <bgColor indexed="64"/>
      </patternFill>
    </fill>
    <fill>
      <patternFill patternType="solid">
        <fgColor rgb="FF0E9AB5"/>
        <bgColor indexed="64"/>
      </patternFill>
    </fill>
    <fill>
      <patternFill patternType="solid">
        <fgColor rgb="FF2F9E6A"/>
        <bgColor indexed="64"/>
      </patternFill>
    </fill>
    <fill>
      <patternFill patternType="solid">
        <fgColor rgb="FFE5484D"/>
        <bgColor indexed="64"/>
      </patternFill>
    </fill>
    <fill>
      <patternFill patternType="solid">
        <fgColor rgb="FFF19A1A"/>
        <bgColor indexed="64"/>
      </patternFill>
    </fill>
    <fill>
      <patternFill patternType="solid">
        <fgColor rgb="FFC2489D"/>
        <bgColor indexed="64"/>
      </patternFill>
    </fill>
    <fill>
      <patternFill patternType="solid">
        <fgColor rgb="FFE9ECF3"/>
        <bgColor indexed="64"/>
      </patternFill>
    </fill>
    <fill>
      <patternFill patternType="solid">
        <fgColor rgb="FF9AA1B5"/>
        <bgColor indexed="64"/>
      </patternFill>
    </fill>
    <fill>
      <patternFill patternType="solid">
        <fgColor rgb="FF4747C2"/>
        <bgColor indexed="64"/>
      </patternFill>
    </fill>
    <fill>
      <patternFill patternType="solid">
        <fgColor rgb="FF0B7F95"/>
        <bgColor indexed="64"/>
      </patternFill>
    </fill>
    <fill>
      <patternFill patternType="solid">
        <fgColor rgb="FF23855A"/>
        <bgColor indexed="64"/>
      </patternFill>
    </fill>
  </fills>
  <borders count="37">
    <border>
      <left/>
      <right/>
      <top/>
      <bottom/>
      <diagonal/>
    </border>
    <border>
      <left/>
      <right/>
      <top/>
      <bottom style="thin">
        <color rgb="FFE6E8EF"/>
      </bottom>
      <diagonal/>
    </border>
    <border>
      <left/>
      <right/>
      <top style="thin">
        <color rgb="FFE6E8EF"/>
      </top>
      <bottom style="thin">
        <color rgb="FFE6E8EF"/>
      </bottom>
      <diagonal/>
    </border>
    <border>
      <left style="thick">
        <color rgb="FFF4F6FB"/>
      </left>
      <right/>
      <top/>
      <bottom/>
      <diagonal/>
    </border>
    <border>
      <left/>
      <right style="thick">
        <color rgb="FFF4F6FB"/>
      </right>
      <top/>
      <bottom/>
      <diagonal/>
    </border>
    <border>
      <left style="thin">
        <color rgb="FFE3E6EE"/>
      </left>
      <right/>
      <top/>
      <bottom/>
      <diagonal/>
    </border>
    <border>
      <left style="thin">
        <color rgb="FFE3E6EE"/>
      </left>
      <right/>
      <top style="thin">
        <color rgb="FFE3E6EE"/>
      </top>
      <bottom/>
      <diagonal/>
    </border>
    <border>
      <left/>
      <right/>
      <top style="thin">
        <color rgb="FFE3E6EE"/>
      </top>
      <bottom/>
      <diagonal/>
    </border>
    <border>
      <left style="thin">
        <color rgb="FFE3E6EE"/>
      </left>
      <right/>
      <top/>
      <bottom style="thin">
        <color rgb="FFE3E6EE"/>
      </bottom>
      <diagonal/>
    </border>
    <border>
      <left/>
      <right/>
      <top/>
      <bottom style="thin">
        <color rgb="FFE3E6EE"/>
      </bottom>
      <diagonal/>
    </border>
    <border>
      <left/>
      <right style="thin">
        <color rgb="FFE3E6EE"/>
      </right>
      <top style="thin">
        <color rgb="FFE3E6EE"/>
      </top>
      <bottom/>
      <diagonal/>
    </border>
    <border>
      <left/>
      <right style="thin">
        <color rgb="FFE3E6EE"/>
      </right>
      <top/>
      <bottom/>
      <diagonal/>
    </border>
    <border>
      <left/>
      <right style="thin">
        <color rgb="FFE3E6EE"/>
      </right>
      <top/>
      <bottom style="thin">
        <color rgb="FFE3E6EE"/>
      </bottom>
      <diagonal/>
    </border>
    <border>
      <left style="thin">
        <color rgb="FFE3E6EE"/>
      </left>
      <right/>
      <top/>
      <bottom style="thin">
        <color rgb="FFEEF0F5"/>
      </bottom>
      <diagonal/>
    </border>
    <border>
      <left/>
      <right/>
      <top/>
      <bottom style="thin">
        <color rgb="FFEEF0F5"/>
      </bottom>
      <diagonal/>
    </border>
    <border>
      <left/>
      <right style="thin">
        <color rgb="FFE3E6EE"/>
      </right>
      <top/>
      <bottom style="thin">
        <color rgb="FFEEF0F5"/>
      </bottom>
      <diagonal/>
    </border>
    <border>
      <left style="thin">
        <color rgb="FFE3E6EE"/>
      </left>
      <right/>
      <top style="thin">
        <color rgb="FFEEF0F5"/>
      </top>
      <bottom style="thin">
        <color rgb="FFEEF0F5"/>
      </bottom>
      <diagonal/>
    </border>
    <border>
      <left/>
      <right/>
      <top style="thin">
        <color rgb="FFEEF0F5"/>
      </top>
      <bottom style="thin">
        <color rgb="FFEEF0F5"/>
      </bottom>
      <diagonal/>
    </border>
    <border>
      <left/>
      <right style="thin">
        <color rgb="FFE3E6EE"/>
      </right>
      <top style="thin">
        <color rgb="FFEEF0F5"/>
      </top>
      <bottom style="thin">
        <color rgb="FFEEF0F5"/>
      </bottom>
      <diagonal/>
    </border>
    <border>
      <left style="thin">
        <color rgb="FFE3E6EE"/>
      </left>
      <right/>
      <top style="thin">
        <color rgb="FFEEF0F5"/>
      </top>
      <bottom style="thin">
        <color rgb="FFE3E6EE"/>
      </bottom>
      <diagonal/>
    </border>
    <border>
      <left/>
      <right/>
      <top style="thin">
        <color rgb="FFEEF0F5"/>
      </top>
      <bottom style="thin">
        <color rgb="FFE3E6EE"/>
      </bottom>
      <diagonal/>
    </border>
    <border>
      <left/>
      <right style="thin">
        <color rgb="FFE3E6EE"/>
      </right>
      <top style="thin">
        <color rgb="FFEEF0F5"/>
      </top>
      <bottom style="thin">
        <color rgb="FFE3E6EE"/>
      </bottom>
      <diagonal/>
    </border>
    <border>
      <left style="medium">
        <color rgb="FF5B5BD6"/>
      </left>
      <right/>
      <top/>
      <bottom/>
      <diagonal/>
    </border>
    <border>
      <left style="medium">
        <color rgb="FF5B5BD6"/>
      </left>
      <right style="medium">
        <color rgb="FF5B5BD6"/>
      </right>
      <top style="medium">
        <color rgb="FF5B5BD6"/>
      </top>
      <bottom/>
      <diagonal/>
    </border>
    <border>
      <left style="medium">
        <color rgb="FF5B5BD6"/>
      </left>
      <right style="medium">
        <color rgb="FF5B5BD6"/>
      </right>
      <top/>
      <bottom style="medium">
        <color rgb="FF5B5BD6"/>
      </bottom>
      <diagonal/>
    </border>
    <border>
      <left style="thin">
        <color rgb="FFE3E6EE"/>
      </left>
      <right/>
      <top style="thin">
        <color rgb="FFE3E6EE"/>
      </top>
      <bottom style="thin">
        <color rgb="FFE3E6EE"/>
      </bottom>
      <diagonal/>
    </border>
    <border>
      <left/>
      <right/>
      <top style="thin">
        <color rgb="FFE3E6EE"/>
      </top>
      <bottom style="thin">
        <color rgb="FFE3E6EE"/>
      </bottom>
      <diagonal/>
    </border>
    <border>
      <left/>
      <right style="thin">
        <color rgb="FFE3E6EE"/>
      </right>
      <top style="thin">
        <color rgb="FFE3E6EE"/>
      </top>
      <bottom style="thin">
        <color rgb="FFE3E6EE"/>
      </bottom>
      <diagonal/>
    </border>
    <border>
      <left style="thin">
        <color rgb="FFE3E6EE"/>
      </left>
      <right style="thin">
        <color rgb="FFE3E6EE"/>
      </right>
      <top style="thin">
        <color rgb="FFE3E6EE"/>
      </top>
      <bottom style="thin">
        <color rgb="FFE3E6EE"/>
      </bottom>
      <diagonal/>
    </border>
    <border>
      <left style="medium">
        <color rgb="FF5B5BD6"/>
      </left>
      <right style="medium">
        <color rgb="FF5B5BD6"/>
      </right>
      <top style="medium">
        <color rgb="FF5B5BD6"/>
      </top>
      <bottom style="medium">
        <color rgb="FF5B5BD6"/>
      </bottom>
      <diagonal/>
    </border>
    <border>
      <left style="thick">
        <color rgb="FFF4F6FB"/>
      </left>
      <right/>
      <top style="thick">
        <color rgb="FFF4F6FB"/>
      </top>
      <bottom/>
      <diagonal/>
    </border>
    <border>
      <left/>
      <right/>
      <top style="thick">
        <color rgb="FFF4F6FB"/>
      </top>
      <bottom/>
      <diagonal/>
    </border>
    <border>
      <left style="thick">
        <color rgb="FFF4F6FB"/>
      </left>
      <right/>
      <top/>
      <bottom style="thick">
        <color rgb="FFF4F6FB"/>
      </bottom>
      <diagonal/>
    </border>
    <border>
      <left/>
      <right/>
      <top/>
      <bottom style="thick">
        <color rgb="FFF4F6FB"/>
      </bottom>
      <diagonal/>
    </border>
    <border>
      <left/>
      <right style="thick">
        <color rgb="FFF4F6FB"/>
      </right>
      <top style="thick">
        <color rgb="FFF4F6FB"/>
      </top>
      <bottom/>
      <diagonal/>
    </border>
    <border>
      <left/>
      <right style="thick">
        <color rgb="FFF4F6FB"/>
      </right>
      <top/>
      <bottom style="thick">
        <color rgb="FFF4F6FB"/>
      </bottom>
      <diagonal/>
    </border>
    <border>
      <left/>
      <right/>
      <top style="thin">
        <color rgb="FFE6E8EF"/>
      </top>
      <bottom/>
      <diagonal/>
    </border>
  </borders>
  <cellStyleXfs count="2">
    <xf numFmtId="0" fontId="0" fillId="0" borderId="0"/>
    <xf numFmtId="0" fontId="5" fillId="0" borderId="0" applyNumberFormat="0" applyFill="0" applyBorder="0" applyAlignment="0" applyProtection="0"/>
  </cellStyleXfs>
  <cellXfs count="264">
    <xf numFmtId="0" fontId="0" fillId="0" borderId="0" xfId="0"/>
    <xf numFmtId="0" fontId="0" fillId="2" borderId="0" xfId="0" applyFill="1"/>
    <xf numFmtId="0" fontId="3" fillId="2" borderId="0" xfId="0" applyFont="1" applyFill="1" applyAlignment="1">
      <alignment vertical="center"/>
    </xf>
    <xf numFmtId="0" fontId="4" fillId="2" borderId="0" xfId="0" applyFont="1" applyFill="1" applyAlignment="1">
      <alignment vertical="top"/>
    </xf>
    <xf numFmtId="0" fontId="6" fillId="2" borderId="0" xfId="1" applyFont="1" applyFill="1" applyAlignment="1">
      <alignment horizontal="right" vertical="center"/>
    </xf>
    <xf numFmtId="0" fontId="9" fillId="0" borderId="0" xfId="0" applyFont="1"/>
    <xf numFmtId="0" fontId="0" fillId="0" borderId="1" xfId="0" applyBorder="1"/>
    <xf numFmtId="0" fontId="0" fillId="0" borderId="2" xfId="0" applyBorder="1"/>
    <xf numFmtId="0" fontId="11" fillId="0" borderId="0" xfId="0" applyFont="1"/>
    <xf numFmtId="0" fontId="0" fillId="3" borderId="0" xfId="0" applyFill="1"/>
    <xf numFmtId="0" fontId="2" fillId="3" borderId="0" xfId="0" applyFont="1" applyFill="1"/>
    <xf numFmtId="0" fontId="8" fillId="4" borderId="0" xfId="0" applyFont="1" applyFill="1"/>
    <xf numFmtId="0" fontId="12" fillId="5" borderId="1" xfId="0" applyFont="1" applyFill="1" applyBorder="1"/>
    <xf numFmtId="0" fontId="12" fillId="5" borderId="2" xfId="0" applyFont="1" applyFill="1" applyBorder="1"/>
    <xf numFmtId="0" fontId="13" fillId="0" borderId="0" xfId="0" applyFont="1"/>
    <xf numFmtId="164" fontId="0" fillId="0" borderId="1" xfId="0" applyNumberFormat="1" applyBorder="1"/>
    <xf numFmtId="164" fontId="0" fillId="0" borderId="2" xfId="0" applyNumberFormat="1" applyBorder="1"/>
    <xf numFmtId="0" fontId="14" fillId="0" borderId="0" xfId="1" applyFont="1"/>
    <xf numFmtId="165" fontId="0" fillId="0" borderId="1" xfId="0" applyNumberFormat="1" applyBorder="1" applyAlignment="1">
      <alignment horizontal="left"/>
    </xf>
    <xf numFmtId="165" fontId="0" fillId="0" borderId="2" xfId="0" applyNumberFormat="1" applyBorder="1" applyAlignment="1">
      <alignment horizontal="left"/>
    </xf>
    <xf numFmtId="0" fontId="0" fillId="0" borderId="1" xfId="0" applyBorder="1" applyAlignment="1">
      <alignment wrapText="1"/>
    </xf>
    <xf numFmtId="0" fontId="0" fillId="0" borderId="2" xfId="0" applyBorder="1" applyAlignment="1">
      <alignment wrapText="1"/>
    </xf>
    <xf numFmtId="9" fontId="12" fillId="5" borderId="1" xfId="0" applyNumberFormat="1" applyFont="1" applyFill="1" applyBorder="1"/>
    <xf numFmtId="9" fontId="12" fillId="5" borderId="2" xfId="0" applyNumberFormat="1" applyFont="1" applyFill="1" applyBorder="1"/>
    <xf numFmtId="9" fontId="0" fillId="0" borderId="1" xfId="0" applyNumberFormat="1" applyBorder="1"/>
    <xf numFmtId="9" fontId="0" fillId="0" borderId="2" xfId="0" applyNumberFormat="1" applyBorder="1"/>
    <xf numFmtId="166" fontId="12" fillId="5" borderId="1" xfId="0" applyNumberFormat="1" applyFont="1" applyFill="1" applyBorder="1" applyAlignment="1">
      <alignment horizontal="center"/>
    </xf>
    <xf numFmtId="166" fontId="12" fillId="5" borderId="2" xfId="0" applyNumberFormat="1" applyFont="1" applyFill="1" applyBorder="1" applyAlignment="1">
      <alignment horizontal="center"/>
    </xf>
    <xf numFmtId="167" fontId="12" fillId="5" borderId="1" xfId="0" applyNumberFormat="1" applyFont="1" applyFill="1" applyBorder="1"/>
    <xf numFmtId="167" fontId="12" fillId="5" borderId="2" xfId="0" applyNumberFormat="1" applyFont="1" applyFill="1" applyBorder="1"/>
    <xf numFmtId="0" fontId="15" fillId="0" borderId="1" xfId="0" applyFont="1" applyBorder="1"/>
    <xf numFmtId="0" fontId="15" fillId="0" borderId="2" xfId="0" applyFont="1" applyBorder="1"/>
    <xf numFmtId="0" fontId="15" fillId="0" borderId="0" xfId="0" applyFont="1"/>
    <xf numFmtId="168" fontId="0" fillId="0" borderId="0" xfId="0" applyNumberFormat="1"/>
    <xf numFmtId="0" fontId="0" fillId="6" borderId="0" xfId="0" applyFill="1"/>
    <xf numFmtId="0" fontId="17" fillId="6" borderId="0" xfId="0" applyFont="1" applyFill="1"/>
    <xf numFmtId="0" fontId="17" fillId="7" borderId="0" xfId="0" applyFont="1" applyFill="1" applyAlignment="1">
      <alignment horizontal="left" indent="1"/>
    </xf>
    <xf numFmtId="0" fontId="18" fillId="7" borderId="0" xfId="0" applyFont="1" applyFill="1" applyAlignment="1">
      <alignment horizontal="left" vertical="center" indent="1"/>
    </xf>
    <xf numFmtId="0" fontId="13" fillId="7" borderId="0" xfId="0" applyFont="1" applyFill="1" applyAlignment="1">
      <alignment horizontal="left" vertical="top" indent="1"/>
    </xf>
    <xf numFmtId="0" fontId="0" fillId="7" borderId="3" xfId="0" applyFill="1" applyBorder="1"/>
    <xf numFmtId="0" fontId="0" fillId="7" borderId="4" xfId="0" applyFill="1" applyBorder="1"/>
    <xf numFmtId="0" fontId="0" fillId="7" borderId="0" xfId="0" applyFill="1"/>
    <xf numFmtId="0" fontId="0" fillId="9" borderId="0" xfId="0" applyFill="1"/>
    <xf numFmtId="0" fontId="0" fillId="10" borderId="0" xfId="0" applyFill="1"/>
    <xf numFmtId="0" fontId="20" fillId="7" borderId="0" xfId="0" applyFont="1" applyFill="1" applyAlignment="1">
      <alignment horizontal="left" vertical="center" indent="1"/>
    </xf>
    <xf numFmtId="0" fontId="0" fillId="11" borderId="0" xfId="0" applyFill="1"/>
    <xf numFmtId="0" fontId="21" fillId="6" borderId="0" xfId="0" applyFont="1" applyFill="1"/>
    <xf numFmtId="0" fontId="13" fillId="6" borderId="0" xfId="0" applyFont="1" applyFill="1" applyAlignment="1">
      <alignment vertical="center"/>
    </xf>
    <xf numFmtId="0" fontId="0" fillId="7" borderId="0" xfId="0" applyFill="1" applyAlignment="1">
      <alignment vertical="center"/>
    </xf>
    <xf numFmtId="0" fontId="8" fillId="7" borderId="0" xfId="0" applyFont="1" applyFill="1" applyAlignment="1">
      <alignment vertical="center"/>
    </xf>
    <xf numFmtId="0" fontId="0" fillId="7" borderId="5" xfId="0" applyFill="1" applyBorder="1" applyAlignment="1">
      <alignment vertical="center"/>
    </xf>
    <xf numFmtId="0" fontId="17" fillId="7" borderId="6" xfId="0" applyFont="1" applyFill="1" applyBorder="1"/>
    <xf numFmtId="0" fontId="17" fillId="7" borderId="7" xfId="0" applyFont="1" applyFill="1" applyBorder="1"/>
    <xf numFmtId="0" fontId="0" fillId="7" borderId="7" xfId="0" applyFill="1" applyBorder="1"/>
    <xf numFmtId="0" fontId="0" fillId="7" borderId="8" xfId="0" applyFill="1" applyBorder="1" applyAlignment="1">
      <alignment vertical="center"/>
    </xf>
    <xf numFmtId="0" fontId="0" fillId="7" borderId="9" xfId="0" applyFill="1" applyBorder="1" applyAlignment="1">
      <alignment vertical="center"/>
    </xf>
    <xf numFmtId="0" fontId="8" fillId="7" borderId="9" xfId="0" applyFont="1" applyFill="1" applyBorder="1" applyAlignment="1">
      <alignment vertical="center"/>
    </xf>
    <xf numFmtId="0" fontId="0" fillId="7" borderId="10" xfId="0" applyFill="1" applyBorder="1"/>
    <xf numFmtId="0" fontId="0" fillId="7" borderId="11" xfId="0" applyFill="1" applyBorder="1" applyAlignment="1">
      <alignment vertical="center"/>
    </xf>
    <xf numFmtId="0" fontId="0" fillId="7" borderId="12" xfId="0" applyFill="1" applyBorder="1" applyAlignment="1">
      <alignment vertical="center"/>
    </xf>
    <xf numFmtId="0" fontId="0" fillId="7" borderId="13" xfId="0" applyFill="1" applyBorder="1" applyAlignment="1">
      <alignment vertical="center"/>
    </xf>
    <xf numFmtId="0" fontId="0" fillId="7" borderId="14" xfId="0" applyFill="1" applyBorder="1" applyAlignment="1">
      <alignment vertical="center"/>
    </xf>
    <xf numFmtId="168" fontId="0" fillId="7" borderId="14" xfId="0" applyNumberFormat="1" applyFill="1" applyBorder="1" applyAlignment="1">
      <alignment horizontal="left" vertical="center"/>
    </xf>
    <xf numFmtId="0" fontId="8" fillId="7" borderId="14" xfId="0" applyFont="1" applyFill="1" applyBorder="1" applyAlignment="1">
      <alignment vertical="center"/>
    </xf>
    <xf numFmtId="0" fontId="0" fillId="7" borderId="15" xfId="0" applyFill="1" applyBorder="1" applyAlignment="1">
      <alignment vertical="center"/>
    </xf>
    <xf numFmtId="0" fontId="0" fillId="7" borderId="16" xfId="0" applyFill="1" applyBorder="1" applyAlignment="1">
      <alignment vertical="center"/>
    </xf>
    <xf numFmtId="0" fontId="0" fillId="7" borderId="17" xfId="0" applyFill="1" applyBorder="1" applyAlignment="1">
      <alignment vertical="center"/>
    </xf>
    <xf numFmtId="168" fontId="0" fillId="7" borderId="17" xfId="0" applyNumberFormat="1" applyFill="1" applyBorder="1" applyAlignment="1">
      <alignment horizontal="left" vertical="center"/>
    </xf>
    <xf numFmtId="0" fontId="8" fillId="7" borderId="17" xfId="0" applyFont="1" applyFill="1" applyBorder="1" applyAlignment="1">
      <alignment vertical="center"/>
    </xf>
    <xf numFmtId="0" fontId="0" fillId="7" borderId="18" xfId="0" applyFill="1" applyBorder="1" applyAlignment="1">
      <alignment vertical="center"/>
    </xf>
    <xf numFmtId="0" fontId="0" fillId="7" borderId="19" xfId="0" applyFill="1" applyBorder="1" applyAlignment="1">
      <alignment vertical="center"/>
    </xf>
    <xf numFmtId="0" fontId="0" fillId="7" borderId="20" xfId="0" applyFill="1" applyBorder="1" applyAlignment="1">
      <alignment vertical="center"/>
    </xf>
    <xf numFmtId="168" fontId="0" fillId="7" borderId="20" xfId="0" applyNumberFormat="1" applyFill="1" applyBorder="1" applyAlignment="1">
      <alignment horizontal="left" vertical="center"/>
    </xf>
    <xf numFmtId="0" fontId="8" fillId="7" borderId="20" xfId="0" applyFont="1" applyFill="1" applyBorder="1" applyAlignment="1">
      <alignment vertical="center"/>
    </xf>
    <xf numFmtId="0" fontId="0" fillId="7" borderId="21" xfId="0" applyFill="1" applyBorder="1" applyAlignment="1">
      <alignment vertical="center"/>
    </xf>
    <xf numFmtId="9" fontId="0" fillId="7" borderId="0" xfId="0" applyNumberFormat="1" applyFill="1" applyAlignment="1">
      <alignment vertical="center"/>
    </xf>
    <xf numFmtId="9" fontId="0" fillId="7" borderId="9" xfId="0" applyNumberFormat="1" applyFill="1" applyBorder="1" applyAlignment="1">
      <alignment vertical="center"/>
    </xf>
    <xf numFmtId="169" fontId="0" fillId="7" borderId="0" xfId="0" applyNumberFormat="1" applyFill="1" applyAlignment="1">
      <alignment horizontal="center" vertical="center"/>
    </xf>
    <xf numFmtId="0" fontId="17" fillId="7" borderId="7" xfId="0" applyFont="1" applyFill="1" applyBorder="1" applyAlignment="1">
      <alignment horizontal="center"/>
    </xf>
    <xf numFmtId="169" fontId="0" fillId="7" borderId="9" xfId="0" applyNumberFormat="1" applyFill="1" applyBorder="1" applyAlignment="1">
      <alignment horizontal="center" vertical="center"/>
    </xf>
    <xf numFmtId="0" fontId="17" fillId="7" borderId="10" xfId="0" applyFont="1" applyFill="1" applyBorder="1" applyAlignment="1">
      <alignment horizontal="center"/>
    </xf>
    <xf numFmtId="169" fontId="0" fillId="7" borderId="11" xfId="0" applyNumberFormat="1" applyFill="1" applyBorder="1" applyAlignment="1">
      <alignment horizontal="center" vertical="center"/>
    </xf>
    <xf numFmtId="169" fontId="0" fillId="7" borderId="12" xfId="0" applyNumberFormat="1" applyFill="1" applyBorder="1" applyAlignment="1">
      <alignment horizontal="center" vertical="center"/>
    </xf>
    <xf numFmtId="0" fontId="11" fillId="6" borderId="0" xfId="0" applyFont="1" applyFill="1"/>
    <xf numFmtId="0" fontId="14" fillId="6" borderId="0" xfId="1" applyFont="1" applyFill="1"/>
    <xf numFmtId="0" fontId="0" fillId="14" borderId="0" xfId="0" applyFill="1"/>
    <xf numFmtId="0" fontId="0" fillId="13" borderId="0" xfId="0" applyFill="1"/>
    <xf numFmtId="0" fontId="22" fillId="13" borderId="0" xfId="0" applyFont="1" applyFill="1" applyAlignment="1">
      <alignment horizontal="left" vertical="top" wrapText="1" indent="1"/>
    </xf>
    <xf numFmtId="0" fontId="23" fillId="13" borderId="0" xfId="0" applyFont="1" applyFill="1"/>
    <xf numFmtId="0" fontId="17" fillId="7" borderId="6" xfId="0" applyFont="1" applyFill="1" applyBorder="1" applyAlignment="1">
      <alignment vertical="center"/>
    </xf>
    <xf numFmtId="0" fontId="17" fillId="7" borderId="7" xfId="0" applyFont="1" applyFill="1" applyBorder="1" applyAlignment="1">
      <alignment vertical="center"/>
    </xf>
    <xf numFmtId="0" fontId="17" fillId="7" borderId="10" xfId="0" applyFont="1" applyFill="1" applyBorder="1" applyAlignment="1">
      <alignment vertical="center"/>
    </xf>
    <xf numFmtId="0" fontId="13" fillId="7" borderId="13" xfId="0" applyFont="1" applyFill="1" applyBorder="1" applyAlignment="1">
      <alignment vertical="center" wrapText="1"/>
    </xf>
    <xf numFmtId="0" fontId="25" fillId="7" borderId="14" xfId="0" applyFont="1" applyFill="1" applyBorder="1" applyAlignment="1">
      <alignment horizontal="center" vertical="center" wrapText="1"/>
    </xf>
    <xf numFmtId="0" fontId="8" fillId="7" borderId="14" xfId="0" applyFont="1" applyFill="1" applyBorder="1" applyAlignment="1">
      <alignment vertical="center" wrapText="1"/>
    </xf>
    <xf numFmtId="0" fontId="0" fillId="7" borderId="14" xfId="0" applyFill="1" applyBorder="1" applyAlignment="1">
      <alignment vertical="center" wrapText="1"/>
    </xf>
    <xf numFmtId="0" fontId="13" fillId="7" borderId="15" xfId="0" applyFont="1" applyFill="1" applyBorder="1" applyAlignment="1">
      <alignment vertical="center" wrapText="1"/>
    </xf>
    <xf numFmtId="0" fontId="13" fillId="7" borderId="16" xfId="0" applyFont="1" applyFill="1" applyBorder="1" applyAlignment="1">
      <alignment vertical="center" wrapText="1"/>
    </xf>
    <xf numFmtId="0" fontId="25" fillId="7" borderId="17" xfId="0" applyFont="1" applyFill="1" applyBorder="1" applyAlignment="1">
      <alignment horizontal="center" vertical="center" wrapText="1"/>
    </xf>
    <xf numFmtId="0" fontId="8" fillId="7" borderId="17" xfId="0" applyFont="1" applyFill="1" applyBorder="1" applyAlignment="1">
      <alignment vertical="center" wrapText="1"/>
    </xf>
    <xf numFmtId="0" fontId="0" fillId="7" borderId="17" xfId="0" applyFill="1" applyBorder="1" applyAlignment="1">
      <alignment vertical="center" wrapText="1"/>
    </xf>
    <xf numFmtId="0" fontId="13" fillId="7" borderId="18" xfId="0" applyFont="1" applyFill="1" applyBorder="1" applyAlignment="1">
      <alignment vertical="center" wrapText="1"/>
    </xf>
    <xf numFmtId="0" fontId="13" fillId="7" borderId="19" xfId="0" applyFont="1" applyFill="1" applyBorder="1" applyAlignment="1">
      <alignment vertical="center" wrapText="1"/>
    </xf>
    <xf numFmtId="0" fontId="25" fillId="7" borderId="20" xfId="0" applyFont="1" applyFill="1" applyBorder="1" applyAlignment="1">
      <alignment horizontal="center" vertical="center" wrapText="1"/>
    </xf>
    <xf numFmtId="0" fontId="8" fillId="7" borderId="20" xfId="0" applyFont="1" applyFill="1" applyBorder="1" applyAlignment="1">
      <alignment vertical="center" wrapText="1"/>
    </xf>
    <xf numFmtId="0" fontId="0" fillId="7" borderId="20" xfId="0" applyFill="1" applyBorder="1" applyAlignment="1">
      <alignment vertical="center" wrapText="1"/>
    </xf>
    <xf numFmtId="0" fontId="13" fillId="7" borderId="21" xfId="0" applyFont="1" applyFill="1" applyBorder="1" applyAlignment="1">
      <alignment vertical="center" wrapText="1"/>
    </xf>
    <xf numFmtId="0" fontId="17" fillId="6" borderId="0" xfId="0" applyFont="1" applyFill="1" applyAlignment="1">
      <alignment vertical="center"/>
    </xf>
    <xf numFmtId="0" fontId="26" fillId="7" borderId="29" xfId="0" applyFont="1" applyFill="1" applyBorder="1" applyAlignment="1">
      <alignment horizontal="left" vertical="center" indent="1"/>
    </xf>
    <xf numFmtId="170" fontId="0" fillId="7" borderId="14" xfId="0" applyNumberFormat="1" applyFill="1" applyBorder="1" applyAlignment="1">
      <alignment horizontal="left" vertical="center"/>
    </xf>
    <xf numFmtId="167" fontId="0" fillId="7" borderId="14" xfId="0" applyNumberFormat="1" applyFill="1" applyBorder="1" applyAlignment="1">
      <alignment horizontal="center" vertical="center"/>
    </xf>
    <xf numFmtId="170" fontId="0" fillId="7" borderId="17" xfId="0" applyNumberFormat="1" applyFill="1" applyBorder="1" applyAlignment="1">
      <alignment horizontal="left" vertical="center"/>
    </xf>
    <xf numFmtId="167" fontId="0" fillId="7" borderId="17" xfId="0" applyNumberFormat="1" applyFill="1" applyBorder="1" applyAlignment="1">
      <alignment horizontal="center" vertical="center"/>
    </xf>
    <xf numFmtId="170" fontId="0" fillId="7" borderId="20" xfId="0" applyNumberFormat="1" applyFill="1" applyBorder="1" applyAlignment="1">
      <alignment horizontal="left" vertical="center"/>
    </xf>
    <xf numFmtId="167" fontId="0" fillId="7" borderId="20" xfId="0" applyNumberFormat="1" applyFill="1" applyBorder="1" applyAlignment="1">
      <alignment horizontal="center" vertical="center"/>
    </xf>
    <xf numFmtId="0" fontId="10" fillId="7" borderId="0" xfId="0" applyFont="1" applyFill="1" applyAlignment="1">
      <alignment vertical="center"/>
    </xf>
    <xf numFmtId="0" fontId="10" fillId="7" borderId="5" xfId="0" applyFont="1" applyFill="1" applyBorder="1" applyAlignment="1">
      <alignment vertical="center"/>
    </xf>
    <xf numFmtId="0" fontId="10" fillId="7" borderId="6" xfId="0" applyFont="1" applyFill="1" applyBorder="1" applyAlignment="1">
      <alignment vertical="center"/>
    </xf>
    <xf numFmtId="0" fontId="10" fillId="7" borderId="7" xfId="0" applyFont="1" applyFill="1" applyBorder="1" applyAlignment="1">
      <alignment vertical="center"/>
    </xf>
    <xf numFmtId="0" fontId="10" fillId="7" borderId="8" xfId="0" applyFont="1" applyFill="1" applyBorder="1" applyAlignment="1">
      <alignment vertical="center"/>
    </xf>
    <xf numFmtId="0" fontId="10" fillId="7" borderId="9" xfId="0" applyFont="1" applyFill="1" applyBorder="1" applyAlignment="1">
      <alignment vertical="center"/>
    </xf>
    <xf numFmtId="170" fontId="10" fillId="7" borderId="10" xfId="0" applyNumberFormat="1" applyFont="1" applyFill="1" applyBorder="1" applyAlignment="1">
      <alignment horizontal="left" vertical="center"/>
    </xf>
    <xf numFmtId="170" fontId="10" fillId="7" borderId="11" xfId="0" applyNumberFormat="1" applyFont="1" applyFill="1" applyBorder="1" applyAlignment="1">
      <alignment horizontal="left" vertical="center"/>
    </xf>
    <xf numFmtId="170" fontId="10" fillId="7" borderId="12" xfId="0" applyNumberFormat="1" applyFont="1" applyFill="1" applyBorder="1" applyAlignment="1">
      <alignment horizontal="left" vertical="center"/>
    </xf>
    <xf numFmtId="0" fontId="19" fillId="7" borderId="0" xfId="0" applyFont="1" applyFill="1" applyAlignment="1">
      <alignment horizontal="left" vertical="center" indent="1"/>
    </xf>
    <xf numFmtId="0" fontId="17" fillId="6" borderId="0" xfId="0" applyFont="1" applyFill="1" applyAlignment="1">
      <alignment horizontal="right" vertical="center"/>
    </xf>
    <xf numFmtId="0" fontId="27" fillId="7" borderId="29" xfId="0" applyFont="1" applyFill="1" applyBorder="1" applyAlignment="1">
      <alignment horizontal="left" vertical="center" indent="1"/>
    </xf>
    <xf numFmtId="1" fontId="27" fillId="7" borderId="29" xfId="0" applyNumberFormat="1" applyFont="1" applyFill="1" applyBorder="1" applyAlignment="1">
      <alignment horizontal="left" vertical="center" indent="1"/>
    </xf>
    <xf numFmtId="0" fontId="24" fillId="2" borderId="0" xfId="0" applyFont="1" applyFill="1" applyAlignment="1">
      <alignment horizontal="center" vertical="center"/>
    </xf>
    <xf numFmtId="0" fontId="28" fillId="7" borderId="28" xfId="0" applyFont="1" applyFill="1" applyBorder="1" applyAlignment="1">
      <alignment vertical="top" wrapText="1"/>
    </xf>
    <xf numFmtId="170" fontId="15" fillId="7" borderId="5" xfId="0" applyNumberFormat="1" applyFont="1" applyFill="1" applyBorder="1" applyAlignment="1">
      <alignment horizontal="left" vertical="center"/>
    </xf>
    <xf numFmtId="170" fontId="15" fillId="7" borderId="8" xfId="0" applyNumberFormat="1" applyFont="1" applyFill="1" applyBorder="1" applyAlignment="1">
      <alignment horizontal="left" vertical="center"/>
    </xf>
    <xf numFmtId="0" fontId="17" fillId="7" borderId="6" xfId="0" applyFont="1" applyFill="1" applyBorder="1" applyAlignment="1">
      <alignment horizontal="left" vertical="center"/>
    </xf>
    <xf numFmtId="0" fontId="17" fillId="7" borderId="7" xfId="0" applyFont="1" applyFill="1" applyBorder="1" applyAlignment="1">
      <alignment horizontal="center" vertical="center"/>
    </xf>
    <xf numFmtId="0" fontId="17" fillId="7" borderId="10" xfId="0" applyFont="1" applyFill="1" applyBorder="1" applyAlignment="1">
      <alignment horizontal="center" vertical="center"/>
    </xf>
    <xf numFmtId="0" fontId="8" fillId="7" borderId="13" xfId="0" applyFont="1" applyFill="1" applyBorder="1" applyAlignment="1">
      <alignment vertical="center"/>
    </xf>
    <xf numFmtId="0" fontId="0" fillId="7" borderId="14" xfId="0" applyFill="1" applyBorder="1" applyAlignment="1">
      <alignment horizontal="center" vertical="center"/>
    </xf>
    <xf numFmtId="9" fontId="0" fillId="7" borderId="14" xfId="0" applyNumberFormat="1" applyFill="1" applyBorder="1" applyAlignment="1">
      <alignment horizontal="center" vertical="center"/>
    </xf>
    <xf numFmtId="0" fontId="9" fillId="7" borderId="14" xfId="0" applyFont="1" applyFill="1" applyBorder="1" applyAlignment="1">
      <alignment horizontal="center" vertical="center"/>
    </xf>
    <xf numFmtId="0" fontId="29" fillId="7" borderId="14" xfId="0" applyFont="1" applyFill="1" applyBorder="1" applyAlignment="1">
      <alignment horizontal="center" vertical="center"/>
    </xf>
    <xf numFmtId="0" fontId="0" fillId="7" borderId="15" xfId="0" applyFill="1" applyBorder="1" applyAlignment="1">
      <alignment horizontal="center" vertical="center"/>
    </xf>
    <xf numFmtId="0" fontId="8" fillId="7" borderId="16" xfId="0" applyFont="1" applyFill="1" applyBorder="1" applyAlignment="1">
      <alignment vertical="center"/>
    </xf>
    <xf numFmtId="0" fontId="0" fillId="7" borderId="17" xfId="0" applyFill="1" applyBorder="1" applyAlignment="1">
      <alignment horizontal="center" vertical="center"/>
    </xf>
    <xf numFmtId="9" fontId="0" fillId="7" borderId="17" xfId="0" applyNumberFormat="1" applyFill="1" applyBorder="1" applyAlignment="1">
      <alignment horizontal="center" vertical="center"/>
    </xf>
    <xf numFmtId="0" fontId="9" fillId="7" borderId="17" xfId="0" applyFont="1" applyFill="1" applyBorder="1" applyAlignment="1">
      <alignment horizontal="center" vertical="center"/>
    </xf>
    <xf numFmtId="0" fontId="29" fillId="7" borderId="17" xfId="0" applyFont="1" applyFill="1" applyBorder="1" applyAlignment="1">
      <alignment horizontal="center" vertical="center"/>
    </xf>
    <xf numFmtId="0" fontId="0" fillId="7" borderId="18" xfId="0" applyFill="1" applyBorder="1" applyAlignment="1">
      <alignment horizontal="center" vertical="center"/>
    </xf>
    <xf numFmtId="0" fontId="8" fillId="7" borderId="19" xfId="0" applyFont="1" applyFill="1" applyBorder="1" applyAlignment="1">
      <alignment vertical="center"/>
    </xf>
    <xf numFmtId="0" fontId="0" fillId="7" borderId="20" xfId="0" applyFill="1" applyBorder="1" applyAlignment="1">
      <alignment horizontal="center" vertical="center"/>
    </xf>
    <xf numFmtId="9" fontId="0" fillId="7" borderId="20" xfId="0" applyNumberFormat="1" applyFill="1" applyBorder="1" applyAlignment="1">
      <alignment horizontal="center" vertical="center"/>
    </xf>
    <xf numFmtId="0" fontId="9" fillId="7" borderId="20" xfId="0" applyFont="1" applyFill="1" applyBorder="1" applyAlignment="1">
      <alignment horizontal="center" vertical="center"/>
    </xf>
    <xf numFmtId="0" fontId="29" fillId="7" borderId="20" xfId="0" applyFont="1" applyFill="1" applyBorder="1" applyAlignment="1">
      <alignment horizontal="center" vertical="center"/>
    </xf>
    <xf numFmtId="0" fontId="0" fillId="7" borderId="21" xfId="0" applyFill="1" applyBorder="1" applyAlignment="1">
      <alignment horizontal="center" vertical="center"/>
    </xf>
    <xf numFmtId="0" fontId="17" fillId="7" borderId="7" xfId="0" applyFont="1" applyFill="1" applyBorder="1" applyAlignment="1">
      <alignment horizontal="left" vertical="center"/>
    </xf>
    <xf numFmtId="0" fontId="0" fillId="7" borderId="14" xfId="0" applyFill="1" applyBorder="1" applyAlignment="1">
      <alignment horizontal="left" vertical="center"/>
    </xf>
    <xf numFmtId="171" fontId="0" fillId="7" borderId="14" xfId="0" applyNumberFormat="1" applyFill="1" applyBorder="1" applyAlignment="1">
      <alignment horizontal="center" vertical="center"/>
    </xf>
    <xf numFmtId="0" fontId="0" fillId="7" borderId="17" xfId="0" applyFill="1" applyBorder="1" applyAlignment="1">
      <alignment horizontal="left" vertical="center"/>
    </xf>
    <xf numFmtId="171" fontId="0" fillId="7" borderId="17" xfId="0" applyNumberFormat="1" applyFill="1" applyBorder="1" applyAlignment="1">
      <alignment horizontal="center" vertical="center"/>
    </xf>
    <xf numFmtId="0" fontId="0" fillId="7" borderId="20" xfId="0" applyFill="1" applyBorder="1" applyAlignment="1">
      <alignment horizontal="left" vertical="center"/>
    </xf>
    <xf numFmtId="171" fontId="0" fillId="7" borderId="20" xfId="0" applyNumberFormat="1" applyFill="1" applyBorder="1" applyAlignment="1">
      <alignment horizontal="center" vertical="center"/>
    </xf>
    <xf numFmtId="0" fontId="30" fillId="2" borderId="0" xfId="0" applyFont="1" applyFill="1" applyAlignment="1">
      <alignment vertical="center"/>
    </xf>
    <xf numFmtId="0" fontId="31" fillId="2" borderId="0" xfId="0" applyFont="1" applyFill="1"/>
    <xf numFmtId="0" fontId="2" fillId="3" borderId="0" xfId="0" applyFont="1" applyFill="1" applyAlignment="1">
      <alignment horizontal="center"/>
    </xf>
    <xf numFmtId="0" fontId="8" fillId="4" borderId="0" xfId="0" applyFont="1" applyFill="1" applyAlignment="1">
      <alignment horizontal="center"/>
    </xf>
    <xf numFmtId="0" fontId="0" fillId="0" borderId="36" xfId="0" applyBorder="1"/>
    <xf numFmtId="164" fontId="0" fillId="0" borderId="36" xfId="0" applyNumberFormat="1" applyBorder="1"/>
    <xf numFmtId="0" fontId="12" fillId="5" borderId="36" xfId="0" applyFont="1" applyFill="1" applyBorder="1"/>
    <xf numFmtId="9" fontId="12" fillId="5" borderId="36" xfId="0" applyNumberFormat="1" applyFont="1" applyFill="1" applyBorder="1"/>
    <xf numFmtId="0" fontId="15" fillId="0" borderId="36" xfId="0" applyFont="1" applyBorder="1"/>
    <xf numFmtId="9" fontId="0" fillId="0" borderId="36" xfId="0" applyNumberFormat="1" applyBorder="1"/>
    <xf numFmtId="167" fontId="12" fillId="5" borderId="36" xfId="0" applyNumberFormat="1" applyFont="1" applyFill="1" applyBorder="1"/>
    <xf numFmtId="166" fontId="12" fillId="5" borderId="36" xfId="0" applyNumberFormat="1" applyFont="1" applyFill="1" applyBorder="1" applyAlignment="1">
      <alignment horizontal="center"/>
    </xf>
    <xf numFmtId="0" fontId="4" fillId="2" borderId="0" xfId="0" applyFont="1" applyFill="1"/>
    <xf numFmtId="0" fontId="32" fillId="3" borderId="30" xfId="1" applyFont="1" applyFill="1" applyBorder="1" applyAlignment="1">
      <alignment horizontal="left" indent="1"/>
    </xf>
    <xf numFmtId="0" fontId="32" fillId="3" borderId="31" xfId="0" applyFont="1" applyFill="1" applyBorder="1" applyAlignment="1">
      <alignment horizontal="left" indent="1"/>
    </xf>
    <xf numFmtId="0" fontId="33" fillId="3" borderId="32" xfId="0" applyFont="1" applyFill="1" applyBorder="1" applyAlignment="1">
      <alignment horizontal="left" vertical="top" indent="1"/>
    </xf>
    <xf numFmtId="0" fontId="33" fillId="3" borderId="33" xfId="0" applyFont="1" applyFill="1" applyBorder="1" applyAlignment="1">
      <alignment horizontal="left" vertical="top" indent="1"/>
    </xf>
    <xf numFmtId="0" fontId="32" fillId="15" borderId="30" xfId="1" applyFont="1" applyFill="1" applyBorder="1" applyAlignment="1">
      <alignment horizontal="left" indent="1"/>
    </xf>
    <xf numFmtId="0" fontId="32" fillId="15" borderId="31" xfId="0" applyFont="1" applyFill="1" applyBorder="1" applyAlignment="1">
      <alignment horizontal="left" indent="1"/>
    </xf>
    <xf numFmtId="0" fontId="33" fillId="15" borderId="32" xfId="0" applyFont="1" applyFill="1" applyBorder="1" applyAlignment="1">
      <alignment horizontal="left" vertical="top" indent="1"/>
    </xf>
    <xf numFmtId="0" fontId="33" fillId="15" borderId="33" xfId="0" applyFont="1" applyFill="1" applyBorder="1" applyAlignment="1">
      <alignment horizontal="left" vertical="top" indent="1"/>
    </xf>
    <xf numFmtId="0" fontId="32" fillId="12" borderId="30" xfId="1" applyFont="1" applyFill="1" applyBorder="1" applyAlignment="1">
      <alignment horizontal="left" indent="1"/>
    </xf>
    <xf numFmtId="0" fontId="32" fillId="12" borderId="31" xfId="0" applyFont="1" applyFill="1" applyBorder="1" applyAlignment="1">
      <alignment horizontal="left" indent="1"/>
    </xf>
    <xf numFmtId="0" fontId="33" fillId="12" borderId="32" xfId="0" applyFont="1" applyFill="1" applyBorder="1" applyAlignment="1">
      <alignment horizontal="left" vertical="top" indent="1"/>
    </xf>
    <xf numFmtId="0" fontId="33" fillId="12" borderId="33" xfId="0" applyFont="1" applyFill="1" applyBorder="1" applyAlignment="1">
      <alignment horizontal="left" vertical="top" indent="1"/>
    </xf>
    <xf numFmtId="0" fontId="32" fillId="8" borderId="30" xfId="1" applyFont="1" applyFill="1" applyBorder="1" applyAlignment="1">
      <alignment horizontal="left" indent="1"/>
    </xf>
    <xf numFmtId="0" fontId="32" fillId="8" borderId="31" xfId="0" applyFont="1" applyFill="1" applyBorder="1" applyAlignment="1">
      <alignment horizontal="left" indent="1"/>
    </xf>
    <xf numFmtId="0" fontId="32" fillId="8" borderId="34" xfId="0" applyFont="1" applyFill="1" applyBorder="1" applyAlignment="1">
      <alignment horizontal="left" indent="1"/>
    </xf>
    <xf numFmtId="0" fontId="33" fillId="8" borderId="32" xfId="0" applyFont="1" applyFill="1" applyBorder="1" applyAlignment="1">
      <alignment horizontal="left" vertical="top" indent="1"/>
    </xf>
    <xf numFmtId="0" fontId="33" fillId="8" borderId="33" xfId="0" applyFont="1" applyFill="1" applyBorder="1" applyAlignment="1">
      <alignment horizontal="left" vertical="top" indent="1"/>
    </xf>
    <xf numFmtId="0" fontId="33" fillId="8" borderId="35" xfId="0" applyFont="1" applyFill="1" applyBorder="1" applyAlignment="1">
      <alignment horizontal="left" vertical="top" indent="1"/>
    </xf>
    <xf numFmtId="0" fontId="32" fillId="17" borderId="30" xfId="1" applyFont="1" applyFill="1" applyBorder="1" applyAlignment="1">
      <alignment horizontal="left" indent="1"/>
    </xf>
    <xf numFmtId="0" fontId="32" fillId="17" borderId="31" xfId="0" applyFont="1" applyFill="1" applyBorder="1" applyAlignment="1">
      <alignment horizontal="left" indent="1"/>
    </xf>
    <xf numFmtId="0" fontId="32" fillId="17" borderId="34" xfId="0" applyFont="1" applyFill="1" applyBorder="1" applyAlignment="1">
      <alignment horizontal="left" indent="1"/>
    </xf>
    <xf numFmtId="0" fontId="33" fillId="17" borderId="32" xfId="0" applyFont="1" applyFill="1" applyBorder="1" applyAlignment="1">
      <alignment horizontal="left" vertical="top" indent="1"/>
    </xf>
    <xf numFmtId="0" fontId="33" fillId="17" borderId="33" xfId="0" applyFont="1" applyFill="1" applyBorder="1" applyAlignment="1">
      <alignment horizontal="left" vertical="top" indent="1"/>
    </xf>
    <xf numFmtId="0" fontId="33" fillId="17" borderId="35" xfId="0" applyFont="1" applyFill="1" applyBorder="1" applyAlignment="1">
      <alignment horizontal="left" vertical="top" indent="1"/>
    </xf>
    <xf numFmtId="0" fontId="34" fillId="7" borderId="6" xfId="0" applyFont="1" applyFill="1" applyBorder="1" applyAlignment="1">
      <alignment horizontal="left" indent="1"/>
    </xf>
    <xf numFmtId="0" fontId="34" fillId="7" borderId="7" xfId="0" applyFont="1" applyFill="1" applyBorder="1" applyAlignment="1">
      <alignment horizontal="left" indent="1"/>
    </xf>
    <xf numFmtId="0" fontId="13" fillId="7" borderId="8" xfId="0" applyFont="1" applyFill="1" applyBorder="1" applyAlignment="1">
      <alignment horizontal="left" vertical="top" wrapText="1" indent="1"/>
    </xf>
    <xf numFmtId="0" fontId="13" fillId="7" borderId="9" xfId="0" applyFont="1" applyFill="1" applyBorder="1" applyAlignment="1">
      <alignment horizontal="left" vertical="top" wrapText="1" indent="1"/>
    </xf>
    <xf numFmtId="0" fontId="34" fillId="7" borderId="10" xfId="0" applyFont="1" applyFill="1" applyBorder="1" applyAlignment="1">
      <alignment horizontal="left" indent="1"/>
    </xf>
    <xf numFmtId="0" fontId="13" fillId="7" borderId="12" xfId="0" applyFont="1" applyFill="1" applyBorder="1" applyAlignment="1">
      <alignment horizontal="left" vertical="top" wrapText="1" indent="1"/>
    </xf>
    <xf numFmtId="0" fontId="32" fillId="16" borderId="30" xfId="1" applyFont="1" applyFill="1" applyBorder="1" applyAlignment="1">
      <alignment horizontal="left" indent="1"/>
    </xf>
    <xf numFmtId="0" fontId="32" fillId="16" borderId="31" xfId="0" applyFont="1" applyFill="1" applyBorder="1" applyAlignment="1">
      <alignment horizontal="left" indent="1"/>
    </xf>
    <xf numFmtId="0" fontId="33" fillId="16" borderId="32" xfId="0" applyFont="1" applyFill="1" applyBorder="1" applyAlignment="1">
      <alignment horizontal="left" vertical="top" indent="1"/>
    </xf>
    <xf numFmtId="0" fontId="33" fillId="16" borderId="33" xfId="0" applyFont="1" applyFill="1" applyBorder="1" applyAlignment="1">
      <alignment horizontal="left" vertical="top" indent="1"/>
    </xf>
    <xf numFmtId="0" fontId="32" fillId="11" borderId="30" xfId="1" applyFont="1" applyFill="1" applyBorder="1" applyAlignment="1">
      <alignment horizontal="left" indent="1"/>
    </xf>
    <xf numFmtId="0" fontId="32" fillId="11" borderId="31" xfId="0" applyFont="1" applyFill="1" applyBorder="1" applyAlignment="1">
      <alignment horizontal="left" indent="1"/>
    </xf>
    <xf numFmtId="0" fontId="33" fillId="11" borderId="32" xfId="0" applyFont="1" applyFill="1" applyBorder="1" applyAlignment="1">
      <alignment horizontal="left" vertical="top" indent="1"/>
    </xf>
    <xf numFmtId="0" fontId="33" fillId="11" borderId="33" xfId="0" applyFont="1" applyFill="1" applyBorder="1" applyAlignment="1">
      <alignment horizontal="left" vertical="top" indent="1"/>
    </xf>
    <xf numFmtId="0" fontId="32" fillId="9" borderId="30" xfId="1" applyFont="1" applyFill="1" applyBorder="1" applyAlignment="1">
      <alignment horizontal="left" indent="1"/>
    </xf>
    <xf numFmtId="0" fontId="32" fillId="9" borderId="31" xfId="0" applyFont="1" applyFill="1" applyBorder="1" applyAlignment="1">
      <alignment horizontal="left" indent="1"/>
    </xf>
    <xf numFmtId="0" fontId="33" fillId="9" borderId="32" xfId="0" applyFont="1" applyFill="1" applyBorder="1" applyAlignment="1">
      <alignment horizontal="left" vertical="top" indent="1"/>
    </xf>
    <xf numFmtId="0" fontId="33" fillId="9" borderId="33" xfId="0" applyFont="1" applyFill="1" applyBorder="1" applyAlignment="1">
      <alignment horizontal="left" vertical="top" indent="1"/>
    </xf>
    <xf numFmtId="0" fontId="7" fillId="6" borderId="0" xfId="0" applyFont="1" applyFill="1" applyAlignment="1">
      <alignment horizontal="left" indent="1"/>
    </xf>
    <xf numFmtId="0" fontId="11" fillId="6" borderId="0" xfId="0" applyFont="1" applyFill="1" applyAlignment="1">
      <alignment vertical="top" wrapText="1"/>
    </xf>
    <xf numFmtId="0" fontId="13" fillId="7" borderId="3" xfId="0" applyFont="1" applyFill="1" applyBorder="1" applyAlignment="1">
      <alignment horizontal="left" vertical="top" indent="1"/>
    </xf>
    <xf numFmtId="0" fontId="13" fillId="7" borderId="0" xfId="0" applyFont="1" applyFill="1" applyAlignment="1">
      <alignment horizontal="left" vertical="top" indent="1"/>
    </xf>
    <xf numFmtId="0" fontId="0" fillId="8" borderId="3" xfId="0" applyFill="1" applyBorder="1"/>
    <xf numFmtId="0" fontId="0" fillId="8" borderId="0" xfId="0" applyFill="1"/>
    <xf numFmtId="0" fontId="17" fillId="7" borderId="3" xfId="0" applyFont="1" applyFill="1" applyBorder="1" applyAlignment="1">
      <alignment horizontal="left" indent="1"/>
    </xf>
    <xf numFmtId="0" fontId="17" fillId="7" borderId="0" xfId="0" applyFont="1" applyFill="1" applyAlignment="1">
      <alignment horizontal="left" indent="1"/>
    </xf>
    <xf numFmtId="0" fontId="18" fillId="7" borderId="3" xfId="0" applyFont="1" applyFill="1" applyBorder="1" applyAlignment="1">
      <alignment horizontal="left" vertical="center" indent="1"/>
    </xf>
    <xf numFmtId="0" fontId="18" fillId="7" borderId="0" xfId="0" applyFont="1" applyFill="1" applyAlignment="1">
      <alignment horizontal="left" vertical="center" indent="1"/>
    </xf>
    <xf numFmtId="0" fontId="16" fillId="2" borderId="0" xfId="0" applyFont="1" applyFill="1" applyAlignment="1">
      <alignment horizontal="right"/>
    </xf>
    <xf numFmtId="0" fontId="14" fillId="6" borderId="0" xfId="0" applyFont="1" applyFill="1" applyAlignment="1">
      <alignment horizontal="right"/>
    </xf>
    <xf numFmtId="0" fontId="0" fillId="3" borderId="3" xfId="0" applyFill="1" applyBorder="1"/>
    <xf numFmtId="0" fontId="0" fillId="3" borderId="0" xfId="0" applyFill="1"/>
    <xf numFmtId="0" fontId="0" fillId="9" borderId="3" xfId="0" applyFill="1" applyBorder="1"/>
    <xf numFmtId="0" fontId="0" fillId="9" borderId="0" xfId="0" applyFill="1"/>
    <xf numFmtId="9" fontId="19" fillId="7" borderId="3" xfId="0" applyNumberFormat="1" applyFont="1" applyFill="1" applyBorder="1" applyAlignment="1">
      <alignment horizontal="left" vertical="center" indent="1"/>
    </xf>
    <xf numFmtId="9" fontId="19" fillId="7" borderId="0" xfId="0" applyNumberFormat="1" applyFont="1" applyFill="1" applyAlignment="1">
      <alignment horizontal="left" vertical="center" indent="1"/>
    </xf>
    <xf numFmtId="0" fontId="0" fillId="10" borderId="3" xfId="0" applyFill="1" applyBorder="1"/>
    <xf numFmtId="0" fontId="0" fillId="10" borderId="0" xfId="0" applyFill="1"/>
    <xf numFmtId="0" fontId="20" fillId="7" borderId="3" xfId="0" applyFont="1" applyFill="1" applyBorder="1" applyAlignment="1">
      <alignment horizontal="left" vertical="center" indent="1"/>
    </xf>
    <xf numFmtId="0" fontId="20" fillId="7" borderId="0" xfId="0" applyFont="1" applyFill="1" applyAlignment="1">
      <alignment horizontal="left" vertical="center" indent="1"/>
    </xf>
    <xf numFmtId="0" fontId="0" fillId="2" borderId="3" xfId="0" applyFill="1" applyBorder="1"/>
    <xf numFmtId="0" fontId="0" fillId="2" borderId="4" xfId="0" applyFill="1" applyBorder="1"/>
    <xf numFmtId="0" fontId="17" fillId="7" borderId="4" xfId="0" applyFont="1" applyFill="1" applyBorder="1" applyAlignment="1">
      <alignment horizontal="left" indent="1"/>
    </xf>
    <xf numFmtId="0" fontId="18" fillId="7" borderId="4" xfId="0" applyFont="1" applyFill="1" applyBorder="1" applyAlignment="1">
      <alignment horizontal="left" vertical="center" indent="1"/>
    </xf>
    <xf numFmtId="0" fontId="13" fillId="7" borderId="4" xfId="0" applyFont="1" applyFill="1" applyBorder="1" applyAlignment="1">
      <alignment horizontal="left" vertical="top" indent="1"/>
    </xf>
    <xf numFmtId="0" fontId="0" fillId="11" borderId="3" xfId="0" applyFill="1" applyBorder="1"/>
    <xf numFmtId="0" fontId="0" fillId="11" borderId="0" xfId="0" applyFill="1"/>
    <xf numFmtId="0" fontId="0" fillId="12" borderId="3" xfId="0" applyFill="1" applyBorder="1"/>
    <xf numFmtId="0" fontId="0" fillId="12" borderId="0" xfId="0" applyFill="1"/>
    <xf numFmtId="0" fontId="8" fillId="13" borderId="0" xfId="0" applyFont="1" applyFill="1" applyAlignment="1">
      <alignment horizontal="left" vertical="center" indent="1"/>
    </xf>
    <xf numFmtId="0" fontId="1" fillId="7" borderId="23" xfId="0" applyFont="1" applyFill="1" applyBorder="1" applyAlignment="1">
      <alignment horizontal="left" vertical="center" indent="1"/>
    </xf>
    <xf numFmtId="0" fontId="1" fillId="7" borderId="24" xfId="0" applyFont="1" applyFill="1" applyBorder="1" applyAlignment="1">
      <alignment horizontal="left" vertical="center" indent="1"/>
    </xf>
    <xf numFmtId="0" fontId="13" fillId="6" borderId="0" xfId="0" applyFont="1" applyFill="1"/>
    <xf numFmtId="0" fontId="21" fillId="7" borderId="25" xfId="0" applyFont="1" applyFill="1" applyBorder="1" applyAlignment="1">
      <alignment horizontal="left" vertical="center" indent="1"/>
    </xf>
    <xf numFmtId="0" fontId="21" fillId="7" borderId="26" xfId="0" applyFont="1" applyFill="1" applyBorder="1" applyAlignment="1">
      <alignment horizontal="left" vertical="center" indent="1"/>
    </xf>
    <xf numFmtId="0" fontId="21" fillId="7" borderId="27" xfId="0" applyFont="1" applyFill="1" applyBorder="1" applyAlignment="1">
      <alignment horizontal="left" vertical="center" indent="1"/>
    </xf>
    <xf numFmtId="0" fontId="24" fillId="12" borderId="6" xfId="0" applyFont="1" applyFill="1" applyBorder="1" applyAlignment="1">
      <alignment horizontal="left" vertical="center" indent="1"/>
    </xf>
    <xf numFmtId="0" fontId="24" fillId="12" borderId="7" xfId="0" applyFont="1" applyFill="1" applyBorder="1" applyAlignment="1">
      <alignment horizontal="left" vertical="center" indent="1"/>
    </xf>
    <xf numFmtId="0" fontId="24" fillId="12" borderId="10" xfId="0" applyFont="1" applyFill="1" applyBorder="1" applyAlignment="1">
      <alignment horizontal="left" vertical="center" indent="1"/>
    </xf>
    <xf numFmtId="0" fontId="0" fillId="7" borderId="8" xfId="0" applyFill="1" applyBorder="1" applyAlignment="1">
      <alignment horizontal="left" vertical="center" wrapText="1" indent="1"/>
    </xf>
    <xf numFmtId="0" fontId="0" fillId="7" borderId="9" xfId="0" applyFill="1" applyBorder="1" applyAlignment="1">
      <alignment horizontal="left" vertical="center" wrapText="1" indent="1"/>
    </xf>
    <xf numFmtId="0" fontId="0" fillId="7" borderId="12" xfId="0" applyFill="1" applyBorder="1" applyAlignment="1">
      <alignment horizontal="left" vertical="center" wrapText="1" indent="1"/>
    </xf>
    <xf numFmtId="0" fontId="24" fillId="3" borderId="6" xfId="0" applyFont="1" applyFill="1" applyBorder="1" applyAlignment="1">
      <alignment horizontal="left" vertical="center" indent="1"/>
    </xf>
    <xf numFmtId="0" fontId="24" fillId="3" borderId="7" xfId="0" applyFont="1" applyFill="1" applyBorder="1" applyAlignment="1">
      <alignment horizontal="left" vertical="center" indent="1"/>
    </xf>
    <xf numFmtId="0" fontId="24" fillId="3" borderId="10" xfId="0" applyFont="1" applyFill="1" applyBorder="1" applyAlignment="1">
      <alignment horizontal="left" vertical="center" indent="1"/>
    </xf>
    <xf numFmtId="0" fontId="13" fillId="6" borderId="22" xfId="0" applyFont="1" applyFill="1" applyBorder="1" applyAlignment="1">
      <alignment horizontal="left" vertical="center" indent="1"/>
    </xf>
    <xf numFmtId="0" fontId="13" fillId="6" borderId="0" xfId="0" applyFont="1" applyFill="1" applyAlignment="1">
      <alignment horizontal="left" vertical="center" indent="1"/>
    </xf>
  </cellXfs>
  <cellStyles count="2">
    <cellStyle name="Hyperlink" xfId="1" builtinId="8"/>
    <cellStyle name="Normal" xfId="0" builtinId="0" customBuiltin="1"/>
  </cellStyles>
  <dxfs count="126">
    <dxf>
      <font>
        <b/>
        <i val="0"/>
        <color rgb="FF2F9E6A"/>
      </font>
    </dxf>
    <dxf>
      <font>
        <b/>
        <i val="0"/>
        <color rgb="FFB26A00"/>
      </font>
    </dxf>
    <dxf>
      <font>
        <b/>
        <i val="0"/>
        <color rgb="FFE5484D"/>
      </font>
    </dxf>
    <dxf>
      <font>
        <color rgb="FF2F9E6A"/>
      </font>
      <fill>
        <patternFill>
          <bgColor rgb="FFE6F6EE"/>
        </patternFill>
      </fill>
    </dxf>
    <dxf>
      <font>
        <color rgb="FFB26A00"/>
      </font>
      <fill>
        <patternFill>
          <bgColor rgb="FFFEF3E2"/>
        </patternFill>
      </fill>
    </dxf>
    <dxf>
      <font>
        <b/>
        <i val="0"/>
        <color rgb="FFE5484D"/>
      </font>
      <fill>
        <patternFill>
          <bgColor rgb="FFFFF1F1"/>
        </patternFill>
      </fill>
    </dxf>
    <dxf>
      <font>
        <b/>
        <i val="0"/>
        <color rgb="FF9AA1B5"/>
      </font>
    </dxf>
    <dxf>
      <font>
        <b/>
        <i val="0"/>
        <color rgb="FF5B5BD6"/>
      </font>
    </dxf>
    <dxf>
      <font>
        <b/>
        <i val="0"/>
        <color rgb="FFF19A1A"/>
      </font>
    </dxf>
    <dxf>
      <font>
        <b/>
        <i val="0"/>
        <color rgb="FFE5484D"/>
      </font>
    </dxf>
    <dxf>
      <font>
        <b/>
        <i val="0"/>
        <color rgb="FF2F9E6A"/>
      </font>
    </dxf>
    <dxf>
      <font>
        <b/>
        <i val="0"/>
        <color rgb="FFB26A00"/>
      </font>
    </dxf>
    <dxf>
      <font>
        <b/>
        <i val="0"/>
        <color rgb="FFE5484D"/>
      </font>
    </dxf>
    <dxf>
      <font>
        <b/>
        <i val="0"/>
        <color rgb="FFE5484D"/>
      </font>
    </dxf>
    <dxf>
      <font>
        <b/>
        <i val="0"/>
        <color rgb="FFE5484D"/>
      </font>
    </dxf>
    <dxf>
      <fill>
        <patternFill>
          <bgColor rgb="FFFFF9E6"/>
        </patternFill>
      </fill>
    </dxf>
    <dxf>
      <font>
        <b/>
        <i val="0"/>
        <color rgb="FF9AA1B5"/>
      </font>
    </dxf>
    <dxf>
      <font>
        <b/>
        <i val="0"/>
        <color rgb="FF5B5BD6"/>
      </font>
    </dxf>
    <dxf>
      <font>
        <b/>
        <i val="0"/>
        <color rgb="FFF19A1A"/>
      </font>
    </dxf>
    <dxf>
      <font>
        <b/>
        <i val="0"/>
        <color rgb="FFE5484D"/>
      </font>
    </dxf>
    <dxf>
      <fill>
        <patternFill>
          <bgColor rgb="FFFAFAFD"/>
        </patternFill>
      </fill>
    </dxf>
    <dxf>
      <font>
        <color rgb="FFB3B8C8"/>
      </font>
      <fill>
        <patternFill>
          <bgColor rgb="FFF7F8FB"/>
        </patternFill>
      </fill>
    </dxf>
    <dxf>
      <fill>
        <patternFill>
          <bgColor rgb="FFFFF5F5"/>
        </patternFill>
      </fill>
    </dxf>
    <dxf>
      <font>
        <b/>
        <i val="0"/>
      </font>
      <fill>
        <patternFill>
          <bgColor rgb="FFECECFB"/>
        </patternFill>
      </fill>
      <border>
        <left style="thin">
          <color rgb="FF5B5BD6"/>
        </left>
        <right style="thin">
          <color rgb="FF5B5BD6"/>
        </right>
        <top style="thin">
          <color rgb="FF5B5BD6"/>
        </top>
        <bottom style="thin">
          <color rgb="FF5B5BD6"/>
        </bottom>
      </border>
    </dxf>
    <dxf>
      <font>
        <color rgb="FFB26A00"/>
      </font>
      <fill>
        <patternFill>
          <bgColor rgb="FFFEF3E2"/>
        </patternFill>
      </fill>
    </dxf>
    <dxf>
      <font>
        <b/>
        <i val="0"/>
        <color rgb="FFE5484D"/>
      </font>
      <fill>
        <patternFill>
          <bgColor rgb="FFFFF1F1"/>
        </patternFill>
      </fill>
    </dxf>
    <dxf>
      <font>
        <b/>
        <i val="0"/>
        <color rgb="FF9AA1B5"/>
      </font>
    </dxf>
    <dxf>
      <font>
        <b/>
        <i val="0"/>
        <color rgb="FF5B5BD6"/>
      </font>
    </dxf>
    <dxf>
      <font>
        <b/>
        <i val="0"/>
        <color rgb="FFF19A1A"/>
      </font>
    </dxf>
    <dxf>
      <font>
        <b/>
        <i val="0"/>
        <color rgb="FFE5484D"/>
      </font>
    </dxf>
    <dxf>
      <font>
        <b/>
        <i val="0"/>
        <color rgb="FFC2489D"/>
      </font>
    </dxf>
    <dxf>
      <font>
        <color rgb="FF2F9E6A"/>
      </font>
    </dxf>
    <dxf>
      <fill>
        <patternFill>
          <bgColor rgb="FFF7F7FE"/>
        </patternFill>
      </fill>
    </dxf>
    <dxf>
      <font>
        <color rgb="FF8A90A6"/>
      </font>
      <fill>
        <patternFill>
          <bgColor rgb="FFFBFCFD"/>
        </patternFill>
      </fill>
      <border>
        <left style="thin">
          <color rgb="FFE1E4EC"/>
        </left>
        <right style="thin">
          <color rgb="FFE1E4EC"/>
        </right>
        <top style="thin">
          <color rgb="FFE1E4EC"/>
        </top>
        <bottom style="thin">
          <color rgb="FFE1E4EC"/>
        </bottom>
      </border>
    </dxf>
    <dxf>
      <fill>
        <patternFill>
          <bgColor rgb="FFFFF5F5"/>
        </patternFill>
      </fill>
      <border>
        <left style="thin">
          <color rgb="FFF4C7C9"/>
        </left>
        <right style="thin">
          <color rgb="FFF4C7C9"/>
        </right>
        <top style="thin">
          <color rgb="FFF4C7C9"/>
        </top>
        <bottom style="thin">
          <color rgb="FFF4C7C9"/>
        </bottom>
      </border>
    </dxf>
    <dxf>
      <font>
        <color rgb="FF9AA1B5"/>
      </font>
      <fill>
        <patternFill>
          <bgColor rgb="FF9AA1B5"/>
        </patternFill>
      </fill>
    </dxf>
    <dxf>
      <font>
        <color rgb="FF5B5BD6"/>
      </font>
      <fill>
        <patternFill>
          <bgColor rgb="FF5B5BD6"/>
        </patternFill>
      </fill>
    </dxf>
    <dxf>
      <font>
        <color rgb="FFF19A1A"/>
      </font>
      <fill>
        <patternFill>
          <bgColor rgb="FFF19A1A"/>
        </patternFill>
      </fill>
    </dxf>
    <dxf>
      <font>
        <color rgb="FFE5484D"/>
      </font>
      <fill>
        <patternFill>
          <bgColor rgb="FFE5484D"/>
        </patternFill>
      </fill>
    </dxf>
    <dxf>
      <fill>
        <patternFill>
          <bgColor rgb="FFFFFFFF"/>
        </patternFill>
      </fill>
      <border>
        <left style="thin">
          <color rgb="FFDADDE6"/>
        </left>
        <right style="thin">
          <color rgb="FFDADDE6"/>
        </right>
        <top style="thin">
          <color rgb="FFDADDE6"/>
        </top>
        <bottom style="thin">
          <color rgb="FFDADDE6"/>
        </bottom>
      </border>
    </dxf>
    <dxf>
      <fill>
        <patternFill>
          <bgColor rgb="FFFFF5F5"/>
        </patternFill>
      </fill>
      <border>
        <left style="thin">
          <color rgb="FFF4C7C9"/>
        </left>
        <right style="thin">
          <color rgb="FFF4C7C9"/>
        </right>
        <top style="thin">
          <color rgb="FFF4C7C9"/>
        </top>
        <bottom style="thin">
          <color rgb="FFF4C7C9"/>
        </bottom>
      </border>
    </dxf>
    <dxf>
      <font>
        <color rgb="FF9AA1B5"/>
      </font>
      <fill>
        <patternFill>
          <bgColor rgb="FF9AA1B5"/>
        </patternFill>
      </fill>
    </dxf>
    <dxf>
      <font>
        <color rgb="FF5B5BD6"/>
      </font>
      <fill>
        <patternFill>
          <bgColor rgb="FF5B5BD6"/>
        </patternFill>
      </fill>
    </dxf>
    <dxf>
      <font>
        <color rgb="FFF19A1A"/>
      </font>
      <fill>
        <patternFill>
          <bgColor rgb="FFF19A1A"/>
        </patternFill>
      </fill>
    </dxf>
    <dxf>
      <font>
        <color rgb="FFE5484D"/>
      </font>
      <fill>
        <patternFill>
          <bgColor rgb="FFE5484D"/>
        </patternFill>
      </fill>
    </dxf>
    <dxf>
      <fill>
        <patternFill>
          <bgColor rgb="FFFFFFFF"/>
        </patternFill>
      </fill>
      <border>
        <left style="thin">
          <color rgb="FFDADDE6"/>
        </left>
        <right style="thin">
          <color rgb="FFDADDE6"/>
        </right>
        <top style="thin">
          <color rgb="FFDADDE6"/>
        </top>
        <bottom style="thin">
          <color rgb="FFDADDE6"/>
        </bottom>
      </border>
    </dxf>
    <dxf>
      <fill>
        <patternFill>
          <bgColor rgb="FFFFF5F5"/>
        </patternFill>
      </fill>
      <border>
        <left style="thin">
          <color rgb="FFF4C7C9"/>
        </left>
        <right style="thin">
          <color rgb="FFF4C7C9"/>
        </right>
        <top style="thin">
          <color rgb="FFF4C7C9"/>
        </top>
        <bottom style="thin">
          <color rgb="FFF4C7C9"/>
        </bottom>
      </border>
    </dxf>
    <dxf>
      <font>
        <color rgb="FF9AA1B5"/>
      </font>
      <fill>
        <patternFill>
          <bgColor rgb="FF9AA1B5"/>
        </patternFill>
      </fill>
    </dxf>
    <dxf>
      <font>
        <color rgb="FF5B5BD6"/>
      </font>
      <fill>
        <patternFill>
          <bgColor rgb="FF5B5BD6"/>
        </patternFill>
      </fill>
    </dxf>
    <dxf>
      <font>
        <color rgb="FFF19A1A"/>
      </font>
      <fill>
        <patternFill>
          <bgColor rgb="FFF19A1A"/>
        </patternFill>
      </fill>
    </dxf>
    <dxf>
      <font>
        <color rgb="FFE5484D"/>
      </font>
      <fill>
        <patternFill>
          <bgColor rgb="FFE5484D"/>
        </patternFill>
      </fill>
    </dxf>
    <dxf>
      <fill>
        <patternFill>
          <bgColor rgb="FFFFFFFF"/>
        </patternFill>
      </fill>
      <border>
        <left style="thin">
          <color rgb="FFDADDE6"/>
        </left>
        <right style="thin">
          <color rgb="FFDADDE6"/>
        </right>
        <top style="thin">
          <color rgb="FFDADDE6"/>
        </top>
        <bottom style="thin">
          <color rgb="FFDADDE6"/>
        </bottom>
      </border>
    </dxf>
    <dxf>
      <fill>
        <patternFill>
          <bgColor rgb="FFFFF5F5"/>
        </patternFill>
      </fill>
      <border>
        <left style="thin">
          <color rgb="FFF4C7C9"/>
        </left>
        <right style="thin">
          <color rgb="FFF4C7C9"/>
        </right>
        <top style="thin">
          <color rgb="FFF4C7C9"/>
        </top>
        <bottom style="thin">
          <color rgb="FFF4C7C9"/>
        </bottom>
      </border>
    </dxf>
    <dxf>
      <font>
        <color rgb="FF9AA1B5"/>
      </font>
      <fill>
        <patternFill>
          <bgColor rgb="FF9AA1B5"/>
        </patternFill>
      </fill>
    </dxf>
    <dxf>
      <font>
        <color rgb="FF5B5BD6"/>
      </font>
      <fill>
        <patternFill>
          <bgColor rgb="FF5B5BD6"/>
        </patternFill>
      </fill>
    </dxf>
    <dxf>
      <font>
        <color rgb="FFF19A1A"/>
      </font>
      <fill>
        <patternFill>
          <bgColor rgb="FFF19A1A"/>
        </patternFill>
      </fill>
    </dxf>
    <dxf>
      <font>
        <color rgb="FFE5484D"/>
      </font>
      <fill>
        <patternFill>
          <bgColor rgb="FFE5484D"/>
        </patternFill>
      </fill>
    </dxf>
    <dxf>
      <fill>
        <patternFill>
          <bgColor rgb="FFFFFFFF"/>
        </patternFill>
      </fill>
      <border>
        <left style="thin">
          <color rgb="FFDADDE6"/>
        </left>
        <right style="thin">
          <color rgb="FFDADDE6"/>
        </right>
        <top style="thin">
          <color rgb="FFDADDE6"/>
        </top>
        <bottom style="thin">
          <color rgb="FFDADDE6"/>
        </bottom>
      </border>
    </dxf>
    <dxf>
      <fill>
        <patternFill>
          <bgColor rgb="FFFFF5F5"/>
        </patternFill>
      </fill>
      <border>
        <left style="thin">
          <color rgb="FFF4C7C9"/>
        </left>
        <right style="thin">
          <color rgb="FFF4C7C9"/>
        </right>
        <top style="thin">
          <color rgb="FFF4C7C9"/>
        </top>
        <bottom style="thin">
          <color rgb="FFF4C7C9"/>
        </bottom>
      </border>
    </dxf>
    <dxf>
      <font>
        <color rgb="FF9AA1B5"/>
      </font>
      <fill>
        <patternFill>
          <bgColor rgb="FF9AA1B5"/>
        </patternFill>
      </fill>
    </dxf>
    <dxf>
      <font>
        <color rgb="FF5B5BD6"/>
      </font>
      <fill>
        <patternFill>
          <bgColor rgb="FF5B5BD6"/>
        </patternFill>
      </fill>
    </dxf>
    <dxf>
      <font>
        <color rgb="FFF19A1A"/>
      </font>
      <fill>
        <patternFill>
          <bgColor rgb="FFF19A1A"/>
        </patternFill>
      </fill>
    </dxf>
    <dxf>
      <font>
        <color rgb="FFE5484D"/>
      </font>
      <fill>
        <patternFill>
          <bgColor rgb="FFE5484D"/>
        </patternFill>
      </fill>
    </dxf>
    <dxf>
      <font>
        <b/>
        <i val="0"/>
        <color rgb="FFE5484D"/>
      </font>
    </dxf>
    <dxf>
      <font>
        <b/>
        <i val="0"/>
        <color rgb="FFE5484D"/>
      </font>
    </dxf>
    <dxf>
      <font>
        <b/>
        <i val="0"/>
        <color rgb="FF9AA1B5"/>
      </font>
    </dxf>
    <dxf>
      <font>
        <b/>
        <i val="0"/>
        <color rgb="FF5B5BD6"/>
      </font>
    </dxf>
    <dxf>
      <font>
        <b/>
        <i val="0"/>
        <color rgb="FFF19A1A"/>
      </font>
    </dxf>
    <dxf>
      <font>
        <b/>
        <i val="0"/>
        <color rgb="FFE5484D"/>
      </font>
    </dxf>
    <dxf>
      <font>
        <b/>
        <i val="0"/>
        <color rgb="FF2F9E6A"/>
      </font>
    </dxf>
    <dxf>
      <font>
        <b/>
        <i val="0"/>
        <color rgb="FFB26A00"/>
      </font>
    </dxf>
    <dxf>
      <font>
        <b/>
        <i val="0"/>
        <color rgb="FFE5484D"/>
      </font>
    </dxf>
    <dxf>
      <border diagonalUp="0" diagonalDown="0">
        <left/>
        <right/>
        <top style="thin">
          <color rgb="FFE6E8EF"/>
        </top>
        <bottom style="thin">
          <color rgb="FFE6E8EF"/>
        </bottom>
        <vertical/>
        <horizontal style="thin">
          <color rgb="FFE6E8EF"/>
        </horizontal>
      </border>
    </dxf>
    <dxf>
      <border diagonalUp="0" diagonalDown="0">
        <left/>
        <right/>
        <top style="thin">
          <color rgb="FFE6E8EF"/>
        </top>
        <bottom style="thin">
          <color rgb="FFE6E8EF"/>
        </bottom>
        <vertical/>
        <horizontal style="thin">
          <color rgb="FFE6E8EF"/>
        </horizontal>
      </border>
    </dxf>
    <dxf>
      <border diagonalUp="0" diagonalDown="0">
        <left/>
        <right/>
        <top style="thin">
          <color rgb="FFE6E8EF"/>
        </top>
        <bottom style="thin">
          <color rgb="FFE6E8EF"/>
        </bottom>
        <vertical/>
        <horizontal style="thin">
          <color rgb="FFE6E8EF"/>
        </horizontal>
      </border>
    </dxf>
    <dxf>
      <border diagonalUp="0" diagonalDown="0">
        <left/>
        <right/>
        <top style="thin">
          <color rgb="FFE6E8EF"/>
        </top>
        <bottom style="thin">
          <color rgb="FFE6E8EF"/>
        </bottom>
        <vertical/>
        <horizontal style="thin">
          <color rgb="FFE6E8EF"/>
        </horizontal>
      </border>
    </dxf>
    <dxf>
      <border diagonalUp="0" diagonalDown="0">
        <left/>
        <right/>
        <top style="thin">
          <color rgb="FFE6E8EF"/>
        </top>
        <bottom style="thin">
          <color rgb="FFE6E8EF"/>
        </bottom>
        <vertical/>
        <horizontal style="thin">
          <color rgb="FFE6E8EF"/>
        </horizontal>
      </border>
    </dxf>
    <dxf>
      <font>
        <color rgb="FF4A5068"/>
      </font>
      <fill>
        <patternFill patternType="solid">
          <fgColor indexed="64"/>
          <bgColor rgb="FFF6F7FA"/>
        </patternFill>
      </fill>
      <border diagonalUp="0" diagonalDown="0" outline="0">
        <left/>
        <right/>
        <top style="thin">
          <color rgb="FFE6E8EF"/>
        </top>
        <bottom style="thin">
          <color rgb="FFE6E8EF"/>
        </bottom>
      </border>
    </dxf>
    <dxf>
      <font>
        <color rgb="FF4A5068"/>
      </font>
      <fill>
        <patternFill patternType="solid">
          <fgColor indexed="64"/>
          <bgColor rgb="FFF6F7FA"/>
        </patternFill>
      </fill>
      <border diagonalUp="0" diagonalDown="0" outline="0">
        <left/>
        <right/>
        <top style="thin">
          <color rgb="FFE6E8EF"/>
        </top>
        <bottom style="thin">
          <color rgb="FFE6E8EF"/>
        </bottom>
      </border>
    </dxf>
    <dxf>
      <font>
        <color rgb="FF4A5068"/>
      </font>
      <fill>
        <patternFill patternType="solid">
          <fgColor indexed="64"/>
          <bgColor rgb="FFF6F7FA"/>
        </patternFill>
      </fill>
      <border diagonalUp="0" diagonalDown="0" outline="0">
        <left/>
        <right/>
        <top style="thin">
          <color rgb="FFE6E8EF"/>
        </top>
        <bottom style="thin">
          <color rgb="FFE6E8EF"/>
        </bottom>
      </border>
    </dxf>
    <dxf>
      <font>
        <color rgb="FF4A5068"/>
      </font>
      <numFmt numFmtId="13" formatCode="0%"/>
      <fill>
        <patternFill patternType="solid">
          <fgColor indexed="64"/>
          <bgColor rgb="FFF6F7FA"/>
        </patternFill>
      </fill>
      <border diagonalUp="0" diagonalDown="0" outline="0">
        <left/>
        <right/>
        <top style="thin">
          <color rgb="FFE6E8EF"/>
        </top>
        <bottom style="thin">
          <color rgb="FFE6E8EF"/>
        </bottom>
      </border>
    </dxf>
    <dxf>
      <font>
        <color rgb="FF4A5068"/>
      </font>
      <fill>
        <patternFill patternType="solid">
          <fgColor indexed="64"/>
          <bgColor rgb="FFF6F7FA"/>
        </patternFill>
      </fill>
      <border diagonalUp="0" diagonalDown="0" outline="0">
        <left/>
        <right/>
        <top style="thin">
          <color rgb="FFE6E8EF"/>
        </top>
        <bottom style="thin">
          <color rgb="FFE6E8EF"/>
        </bottom>
      </border>
    </dxf>
    <dxf>
      <font>
        <color rgb="FF4A5068"/>
      </font>
      <fill>
        <patternFill patternType="solid">
          <fgColor indexed="64"/>
          <bgColor rgb="FFF6F7FA"/>
        </patternFill>
      </fill>
      <border diagonalUp="0" diagonalDown="0" outline="0">
        <left/>
        <right/>
        <top style="thin">
          <color rgb="FFE6E8EF"/>
        </top>
        <bottom style="thin">
          <color rgb="FFE6E8EF"/>
        </bottom>
      </border>
    </dxf>
    <dxf>
      <numFmt numFmtId="164" formatCode="d\ mmm\ yyyy"/>
      <border diagonalUp="0" diagonalDown="0" outline="0">
        <left/>
        <right/>
        <top style="thin">
          <color rgb="FFE6E8EF"/>
        </top>
        <bottom style="thin">
          <color rgb="FFE6E8EF"/>
        </bottom>
      </border>
    </dxf>
    <dxf>
      <border diagonalUp="0" diagonalDown="0" outline="0">
        <left/>
        <right/>
        <top style="thin">
          <color rgb="FFE6E8EF"/>
        </top>
        <bottom style="thin">
          <color rgb="FFE6E8EF"/>
        </bottom>
      </border>
    </dxf>
    <dxf>
      <border diagonalUp="0" diagonalDown="0" outline="0">
        <left/>
        <right/>
        <top style="thin">
          <color rgb="FFE6E8EF"/>
        </top>
        <bottom style="thin">
          <color rgb="FFE6E8EF"/>
        </bottom>
      </border>
    </dxf>
    <dxf>
      <numFmt numFmtId="164" formatCode="d\ mmm\ yyyy"/>
      <border diagonalUp="0" diagonalDown="0" outline="0">
        <left/>
        <right/>
        <top style="thin">
          <color rgb="FFE6E8EF"/>
        </top>
        <bottom style="thin">
          <color rgb="FFE6E8EF"/>
        </bottom>
      </border>
    </dxf>
    <dxf>
      <numFmt numFmtId="164" formatCode="d\ mmm\ yyyy"/>
      <border diagonalUp="0" diagonalDown="0" outline="0">
        <left/>
        <right/>
        <top style="thin">
          <color rgb="FFE6E8EF"/>
        </top>
        <bottom style="thin">
          <color rgb="FFE6E8EF"/>
        </bottom>
      </border>
    </dxf>
    <dxf>
      <border diagonalUp="0" diagonalDown="0" outline="0">
        <left/>
        <right/>
        <top style="thin">
          <color rgb="FFE6E8EF"/>
        </top>
        <bottom style="thin">
          <color rgb="FFE6E8EF"/>
        </bottom>
      </border>
    </dxf>
    <dxf>
      <border diagonalUp="0" diagonalDown="0">
        <left/>
        <right/>
        <top style="thin">
          <color rgb="FFE6E8EF"/>
        </top>
        <bottom style="thin">
          <color rgb="FFE6E8EF"/>
        </bottom>
        <vertical/>
        <horizontal style="thin">
          <color rgb="FFE6E8EF"/>
        </horizontal>
      </border>
    </dxf>
    <dxf>
      <border diagonalUp="0" diagonalDown="0">
        <left/>
        <right/>
        <top style="thin">
          <color rgb="FFE6E8EF"/>
        </top>
        <bottom style="thin">
          <color rgb="FFE6E8EF"/>
        </bottom>
        <vertical/>
        <horizontal style="thin">
          <color rgb="FFE6E8EF"/>
        </horizontal>
      </border>
    </dxf>
    <dxf>
      <font>
        <color rgb="FF4A5068"/>
      </font>
      <fill>
        <patternFill patternType="solid">
          <fgColor indexed="64"/>
          <bgColor rgb="FFF6F7FA"/>
        </patternFill>
      </fill>
      <border diagonalUp="0" diagonalDown="0" outline="0">
        <left/>
        <right/>
        <top style="thin">
          <color rgb="FFE6E8EF"/>
        </top>
        <bottom style="thin">
          <color rgb="FFE6E8EF"/>
        </bottom>
      </border>
    </dxf>
    <dxf>
      <font>
        <color rgb="FF4A5068"/>
      </font>
      <fill>
        <patternFill patternType="solid">
          <fgColor indexed="64"/>
          <bgColor rgb="FFF6F7FA"/>
        </patternFill>
      </fill>
      <border diagonalUp="0" diagonalDown="0" outline="0">
        <left/>
        <right/>
        <top style="thin">
          <color rgb="FFE6E8EF"/>
        </top>
        <bottom style="thin">
          <color rgb="FFE6E8EF"/>
        </bottom>
      </border>
    </dxf>
    <dxf>
      <font>
        <color rgb="FF4A5068"/>
      </font>
      <fill>
        <patternFill patternType="solid">
          <fgColor indexed="64"/>
          <bgColor rgb="FFF6F7FA"/>
        </patternFill>
      </fill>
      <border diagonalUp="0" diagonalDown="0" outline="0">
        <left/>
        <right/>
        <top style="thin">
          <color rgb="FFE6E8EF"/>
        </top>
        <bottom style="thin">
          <color rgb="FFE6E8EF"/>
        </bottom>
      </border>
    </dxf>
    <dxf>
      <font>
        <color rgb="FF4A5068"/>
      </font>
      <fill>
        <patternFill patternType="solid">
          <fgColor indexed="64"/>
          <bgColor rgb="FFF6F7FA"/>
        </patternFill>
      </fill>
      <border diagonalUp="0" diagonalDown="0" outline="0">
        <left/>
        <right/>
        <top style="thin">
          <color rgb="FFE6E8EF"/>
        </top>
        <bottom style="thin">
          <color rgb="FFE6E8EF"/>
        </bottom>
      </border>
    </dxf>
    <dxf>
      <font>
        <color rgb="FF4A5068"/>
      </font>
      <numFmt numFmtId="166" formatCode="&quot;✓&quot;;;&quot;✗&quot;"/>
      <fill>
        <patternFill patternType="solid">
          <fgColor indexed="64"/>
          <bgColor rgb="FFF6F7FA"/>
        </patternFill>
      </fill>
      <alignment horizontal="center" vertical="bottom" textRotation="0" wrapText="0" indent="0" justifyLastLine="0" shrinkToFit="0" readingOrder="0"/>
      <border diagonalUp="0" diagonalDown="0" outline="0">
        <left/>
        <right/>
        <top style="thin">
          <color rgb="FFE6E8EF"/>
        </top>
        <bottom style="thin">
          <color rgb="FFE6E8EF"/>
        </bottom>
      </border>
    </dxf>
    <dxf>
      <font>
        <color rgb="FF4A5068"/>
      </font>
      <fill>
        <patternFill patternType="solid">
          <fgColor indexed="64"/>
          <bgColor rgb="FFF6F7FA"/>
        </patternFill>
      </fill>
      <border diagonalUp="0" diagonalDown="0" outline="0">
        <left/>
        <right/>
        <top style="thin">
          <color rgb="FFE6E8EF"/>
        </top>
        <bottom style="thin">
          <color rgb="FFE6E8EF"/>
        </bottom>
      </border>
    </dxf>
    <dxf>
      <font>
        <color rgb="FF4A5068"/>
      </font>
      <numFmt numFmtId="167" formatCode="0;[Red]\-0;&quot;today&quot;"/>
      <fill>
        <patternFill patternType="solid">
          <fgColor indexed="64"/>
          <bgColor rgb="FFF6F7FA"/>
        </patternFill>
      </fill>
      <border diagonalUp="0" diagonalDown="0" outline="0">
        <left/>
        <right/>
        <top style="thin">
          <color rgb="FFE6E8EF"/>
        </top>
        <bottom style="thin">
          <color rgb="FFE6E8EF"/>
        </bottom>
      </border>
    </dxf>
    <dxf>
      <numFmt numFmtId="164" formatCode="d\ mmm\ yyyy"/>
      <border diagonalUp="0" diagonalDown="0" outline="0">
        <left/>
        <right/>
        <top style="thin">
          <color rgb="FFE6E8EF"/>
        </top>
        <bottom style="thin">
          <color rgb="FFE6E8EF"/>
        </bottom>
      </border>
    </dxf>
    <dxf>
      <numFmt numFmtId="164" formatCode="d\ mmm\ yyyy"/>
      <border diagonalUp="0" diagonalDown="0" outline="0">
        <left/>
        <right/>
        <top style="thin">
          <color rgb="FFE6E8EF"/>
        </top>
        <bottom style="thin">
          <color rgb="FFE6E8EF"/>
        </bottom>
      </border>
    </dxf>
    <dxf>
      <border diagonalUp="0" diagonalDown="0" outline="0">
        <left/>
        <right/>
        <top style="thin">
          <color rgb="FFE6E8EF"/>
        </top>
        <bottom style="thin">
          <color rgb="FFE6E8EF"/>
        </bottom>
      </border>
    </dxf>
    <dxf>
      <border diagonalUp="0" diagonalDown="0">
        <left/>
        <right/>
        <top style="thin">
          <color rgb="FFE6E8EF"/>
        </top>
        <bottom style="thin">
          <color rgb="FFE6E8EF"/>
        </bottom>
        <vertical/>
        <horizontal style="thin">
          <color rgb="FFE6E8EF"/>
        </horizontal>
      </border>
    </dxf>
    <dxf>
      <border diagonalUp="0" diagonalDown="0" outline="0">
        <left/>
        <right/>
        <top style="thin">
          <color rgb="FFE6E8EF"/>
        </top>
        <bottom style="thin">
          <color rgb="FFE6E8EF"/>
        </bottom>
      </border>
    </dxf>
    <dxf>
      <numFmt numFmtId="13" formatCode="0%"/>
      <border diagonalUp="0" diagonalDown="0" outline="0">
        <left/>
        <right/>
        <top style="thin">
          <color rgb="FFE6E8EF"/>
        </top>
        <bottom style="thin">
          <color rgb="FFE6E8EF"/>
        </bottom>
      </border>
    </dxf>
    <dxf>
      <numFmt numFmtId="164" formatCode="d\ mmm\ yyyy"/>
      <border diagonalUp="0" diagonalDown="0" outline="0">
        <left/>
        <right/>
        <top style="thin">
          <color rgb="FFE6E8EF"/>
        </top>
        <bottom style="thin">
          <color rgb="FFE6E8EF"/>
        </bottom>
      </border>
    </dxf>
    <dxf>
      <numFmt numFmtId="164" formatCode="d\ mmm\ yyyy"/>
      <border diagonalUp="0" diagonalDown="0" outline="0">
        <left/>
        <right/>
        <top style="thin">
          <color rgb="FFE6E8EF"/>
        </top>
        <bottom style="thin">
          <color rgb="FFE6E8EF"/>
        </bottom>
      </border>
    </dxf>
    <dxf>
      <border diagonalUp="0" diagonalDown="0" outline="0">
        <left/>
        <right/>
        <top style="thin">
          <color rgb="FFE6E8EF"/>
        </top>
        <bottom style="thin">
          <color rgb="FFE6E8EF"/>
        </bottom>
      </border>
    </dxf>
    <dxf>
      <border diagonalUp="0" diagonalDown="0">
        <left/>
        <right/>
        <top style="thin">
          <color rgb="FFE6E8EF"/>
        </top>
        <bottom style="thin">
          <color rgb="FFE6E8EF"/>
        </bottom>
        <vertical/>
        <horizontal style="thin">
          <color rgb="FFE6E8EF"/>
        </horizontal>
      </border>
    </dxf>
    <dxf>
      <border diagonalUp="0" diagonalDown="0">
        <left/>
        <right/>
        <top style="thin">
          <color rgb="FFE6E8EF"/>
        </top>
        <bottom style="thin">
          <color rgb="FFE6E8EF"/>
        </bottom>
        <vertical/>
        <horizontal style="thin">
          <color rgb="FFE6E8EF"/>
        </horizontal>
      </border>
    </dxf>
    <dxf>
      <border diagonalUp="0" diagonalDown="0" outline="0">
        <left/>
        <right/>
        <top style="thin">
          <color rgb="FFE6E8EF"/>
        </top>
        <bottom style="thin">
          <color rgb="FFE6E8EF"/>
        </bottom>
      </border>
    </dxf>
    <dxf>
      <font>
        <b/>
      </font>
      <border diagonalUp="0" diagonalDown="0" outline="0">
        <left/>
        <right/>
        <top style="thin">
          <color rgb="FFE6E8EF"/>
        </top>
        <bottom style="thin">
          <color rgb="FFE6E8EF"/>
        </bottom>
      </border>
    </dxf>
    <dxf>
      <font>
        <color rgb="FF4A5068"/>
      </font>
      <fill>
        <patternFill patternType="solid">
          <fgColor indexed="64"/>
          <bgColor rgb="FFF6F7FA"/>
        </patternFill>
      </fill>
      <border diagonalUp="0" diagonalDown="0" outline="0">
        <left/>
        <right/>
        <top style="thin">
          <color rgb="FFE6E8EF"/>
        </top>
        <bottom style="thin">
          <color rgb="FFE6E8EF"/>
        </bottom>
      </border>
    </dxf>
    <dxf>
      <border diagonalUp="0" diagonalDown="0" outline="0">
        <left/>
        <right/>
        <top style="thin">
          <color rgb="FFE6E8EF"/>
        </top>
        <bottom style="thin">
          <color rgb="FFE6E8EF"/>
        </bottom>
      </border>
    </dxf>
    <dxf>
      <alignment horizontal="general" vertical="bottom" textRotation="0" wrapText="1" indent="0" justifyLastLine="0" shrinkToFit="0" readingOrder="0"/>
      <border diagonalUp="0" diagonalDown="0" outline="0">
        <left/>
        <right/>
        <top style="thin">
          <color rgb="FFE6E8EF"/>
        </top>
        <bottom style="thin">
          <color rgb="FFE6E8EF"/>
        </bottom>
      </border>
    </dxf>
    <dxf>
      <border diagonalUp="0" diagonalDown="0" outline="0">
        <left/>
        <right/>
        <top style="thin">
          <color rgb="FFE6E8EF"/>
        </top>
        <bottom style="thin">
          <color rgb="FFE6E8EF"/>
        </bottom>
      </border>
    </dxf>
    <dxf>
      <numFmt numFmtId="165" formatCode="d\ mmm\ h:mm\ AM/PM"/>
      <alignment horizontal="left" vertical="bottom" textRotation="0" wrapText="0" indent="0" justifyLastLine="0" shrinkToFit="0" readingOrder="0"/>
      <border diagonalUp="0" diagonalDown="0" outline="0">
        <left/>
        <right/>
        <top style="thin">
          <color rgb="FFE6E8EF"/>
        </top>
        <bottom style="thin">
          <color rgb="FFE6E8EF"/>
        </bottom>
      </border>
    </dxf>
    <dxf>
      <font>
        <color rgb="FF4A5068"/>
      </font>
      <numFmt numFmtId="13" formatCode="0%"/>
      <fill>
        <patternFill patternType="solid">
          <fgColor indexed="64"/>
          <bgColor rgb="FFF6F7FA"/>
        </patternFill>
      </fill>
      <border diagonalUp="0" diagonalDown="0" outline="0">
        <left/>
        <right/>
        <top style="thin">
          <color rgb="FFE6E8EF"/>
        </top>
        <bottom style="thin">
          <color rgb="FFE6E8EF"/>
        </bottom>
      </border>
    </dxf>
    <dxf>
      <font>
        <color rgb="FF4A5068"/>
      </font>
      <fill>
        <patternFill patternType="solid">
          <fgColor indexed="64"/>
          <bgColor rgb="FFF6F7FA"/>
        </patternFill>
      </fill>
      <border diagonalUp="0" diagonalDown="0" outline="0">
        <left/>
        <right/>
        <top style="thin">
          <color rgb="FFE6E8EF"/>
        </top>
        <bottom style="thin">
          <color rgb="FFE6E8EF"/>
        </bottom>
      </border>
    </dxf>
    <dxf>
      <font>
        <color rgb="FF4A5068"/>
      </font>
      <fill>
        <patternFill patternType="solid">
          <fgColor indexed="64"/>
          <bgColor rgb="FFF6F7FA"/>
        </patternFill>
      </fill>
      <border diagonalUp="0" diagonalDown="0" outline="0">
        <left/>
        <right/>
        <top style="thin">
          <color rgb="FFE6E8EF"/>
        </top>
        <bottom style="thin">
          <color rgb="FFE6E8EF"/>
        </bottom>
      </border>
    </dxf>
    <dxf>
      <border diagonalUp="0" diagonalDown="0" outline="0">
        <left/>
        <right/>
        <top style="thin">
          <color rgb="FFE6E8EF"/>
        </top>
        <bottom style="thin">
          <color rgb="FFE6E8EF"/>
        </bottom>
      </border>
    </dxf>
    <dxf>
      <border diagonalUp="0" diagonalDown="0">
        <left/>
        <right/>
        <top style="thin">
          <color rgb="FFE6E8EF"/>
        </top>
        <bottom style="thin">
          <color rgb="FFE6E8EF"/>
        </bottom>
        <vertical/>
        <horizontal style="thin">
          <color rgb="FFE6E8EF"/>
        </horizontal>
      </border>
    </dxf>
    <dxf>
      <border diagonalUp="0" diagonalDown="0">
        <left/>
        <right/>
        <top style="thin">
          <color rgb="FFE6E8EF"/>
        </top>
        <bottom style="thin">
          <color rgb="FFE6E8EF"/>
        </bottom>
        <vertical/>
        <horizontal style="thin">
          <color rgb="FFE6E8EF"/>
        </horizontal>
      </border>
    </dxf>
    <dxf>
      <border diagonalUp="0" diagonalDown="0">
        <left/>
        <right/>
        <top style="thin">
          <color rgb="FFE6E8EF"/>
        </top>
        <bottom style="thin">
          <color rgb="FFE6E8EF"/>
        </bottom>
        <vertical/>
        <horizontal style="thin">
          <color rgb="FFE6E8EF"/>
        </horizontal>
      </border>
    </dxf>
    <dxf>
      <border diagonalUp="0" diagonalDown="0">
        <left/>
        <right/>
        <top style="thin">
          <color rgb="FFE6E8EF"/>
        </top>
        <bottom style="thin">
          <color rgb="FFE6E8EF"/>
        </bottom>
        <vertical/>
        <horizontal style="thin">
          <color rgb="FFE6E8EF"/>
        </horizontal>
      </border>
    </dxf>
    <dxf>
      <font>
        <b/>
        <i val="0"/>
        <color rgb="FF6B7285"/>
      </font>
    </dxf>
    <dxf>
      <font>
        <color rgb="FF1F2330"/>
      </font>
      <fill>
        <patternFill>
          <bgColor rgb="FFFFFFFF"/>
        </patternFill>
      </fill>
    </dxf>
  </dxfs>
  <tableStyles count="1" defaultTableStyle="TableStyleMedium2" defaultPivotStyle="PivotStyleLight16">
    <tableStyle name="TeamBoard Slicer" pivot="0" table="0" count="10" xr9:uid="{836A7CC7-8CEA-4238-8459-6C2B302BDB9B}">
      <tableStyleElement type="wholeTable" dxfId="125"/>
      <tableStyleElement type="headerRow" dxfId="124"/>
    </tableStyle>
  </tableStyles>
  <extLst>
    <ext xmlns:x14="http://schemas.microsoft.com/office/spreadsheetml/2009/9/main" uri="{46F421CA-312F-682f-3DD2-61675219B42D}">
      <x14:dxfs count="8">
        <dxf>
          <font>
            <color rgb="FFFFFFFF"/>
          </font>
          <fill>
            <patternFill>
              <bgColor rgb="FFC9CBEF"/>
            </patternFill>
          </fill>
          <border>
            <left style="thin">
              <color rgb="FFFFFFFF"/>
            </left>
            <right style="thin">
              <color rgb="FFFFFFFF"/>
            </right>
            <top style="thin">
              <color rgb="FFFFFFFF"/>
            </top>
            <bottom style="thin">
              <color rgb="FFFFFFFF"/>
            </bottom>
          </border>
        </dxf>
        <dxf>
          <font>
            <color rgb="FFB3B8C8"/>
          </font>
          <fill>
            <patternFill>
              <bgColor rgb="FFF7F8FB"/>
            </patternFill>
          </fill>
          <border>
            <left style="thin">
              <color rgb="FFFFFFFF"/>
            </left>
            <right style="thin">
              <color rgb="FFFFFFFF"/>
            </right>
            <top style="thin">
              <color rgb="FFFFFFFF"/>
            </top>
            <bottom style="thin">
              <color rgb="FFFFFFFF"/>
            </bottom>
          </border>
        </dxf>
        <dxf>
          <font>
            <color rgb="FFFFFFFF"/>
          </font>
          <fill>
            <patternFill>
              <bgColor rgb="FF4747C2"/>
            </patternFill>
          </fill>
          <border>
            <left style="thin">
              <color rgb="FFFFFFFF"/>
            </left>
            <right style="thin">
              <color rgb="FFFFFFFF"/>
            </right>
            <top style="thin">
              <color rgb="FFFFFFFF"/>
            </top>
            <bottom style="thin">
              <color rgb="FFFFFFFF"/>
            </bottom>
          </border>
        </dxf>
        <dxf>
          <font>
            <color rgb="FF1F2330"/>
          </font>
          <fill>
            <patternFill>
              <bgColor rgb="FFECECFB"/>
            </patternFill>
          </fill>
          <border>
            <left style="thin">
              <color rgb="FFFFFFFF"/>
            </left>
            <right style="thin">
              <color rgb="FFFFFFFF"/>
            </right>
            <top style="thin">
              <color rgb="FFFFFFFF"/>
            </top>
            <bottom style="thin">
              <color rgb="FFFFFFFF"/>
            </bottom>
          </border>
        </dxf>
        <dxf>
          <font>
            <color rgb="FFFFFFFF"/>
          </font>
          <fill>
            <patternFill>
              <bgColor rgb="FFC9CBEF"/>
            </patternFill>
          </fill>
          <border>
            <left style="thin">
              <color rgb="FFFFFFFF"/>
            </left>
            <right style="thin">
              <color rgb="FFFFFFFF"/>
            </right>
            <top style="thin">
              <color rgb="FFFFFFFF"/>
            </top>
            <bottom style="thin">
              <color rgb="FFFFFFFF"/>
            </bottom>
          </border>
        </dxf>
        <dxf>
          <font>
            <color rgb="FFFFFFFF"/>
          </font>
          <fill>
            <patternFill>
              <bgColor rgb="FF5B5BD6"/>
            </patternFill>
          </fill>
          <border>
            <left style="thin">
              <color rgb="FFFFFFFF"/>
            </left>
            <right style="thin">
              <color rgb="FFFFFFFF"/>
            </right>
            <top style="thin">
              <color rgb="FFFFFFFF"/>
            </top>
            <bottom style="thin">
              <color rgb="FFFFFFFF"/>
            </bottom>
          </border>
        </dxf>
        <dxf>
          <font>
            <color rgb="FFB3B8C8"/>
          </font>
          <fill>
            <patternFill>
              <bgColor rgb="FFF7F8FB"/>
            </patternFill>
          </fill>
          <border>
            <left style="thin">
              <color rgb="FFFFFFFF"/>
            </left>
            <right style="thin">
              <color rgb="FFFFFFFF"/>
            </right>
            <top style="thin">
              <color rgb="FFFFFFFF"/>
            </top>
            <bottom style="thin">
              <color rgb="FFFFFFFF"/>
            </bottom>
          </border>
        </dxf>
        <dxf>
          <font>
            <color rgb="FF1F2330"/>
          </font>
          <fill>
            <patternFill>
              <bgColor rgb="FFEEF0F6"/>
            </patternFill>
          </fill>
          <border>
            <left style="thin">
              <color rgb="FFFFFFFF"/>
            </left>
            <right style="thin">
              <color rgb="FFFFFFFF"/>
            </right>
            <top style="thin">
              <color rgb="FFFFFFFF"/>
            </top>
            <bottom style="thin">
              <color rgb="FFFFFFFF"/>
            </bottom>
          </border>
        </dxf>
      </x14:dxfs>
    </ext>
    <ext xmlns:x14="http://schemas.microsoft.com/office/spreadsheetml/2009/9/main" uri="{EB79DEF2-80B8-43e5-95BD-54CBDDF9020C}">
      <x14:slicerStyles defaultSlicerStyle="SlicerStyleLight1">
        <x14:slicerStyle name="TeamBoard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strRef>
          <c:f>Calc!$C$63</c:f>
          <c:strCache>
            <c:ptCount val="1"/>
            <c:pt idx="0">
              <c:v>Overall completion  ·  0%</c:v>
            </c:pt>
          </c:strCache>
        </c:strRef>
      </c:tx>
      <c:layout>
        <c:manualLayout>
          <c:xMode val="edge"/>
          <c:yMode val="edge"/>
          <c:x val="4.8701298701298704E-2"/>
          <c:y val="2.58620689655172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6B7285"/>
              </a:solidFill>
              <a:latin typeface="Segoe UI" panose="020B0502040204020203" pitchFamily="34" charset="0"/>
              <a:ea typeface="+mn-ea"/>
              <a:cs typeface="+mn-cs"/>
            </a:defRPr>
          </a:pPr>
          <a:endParaRPr lang="en-US"/>
        </a:p>
      </c:txPr>
    </c:title>
    <c:autoTitleDeleted val="0"/>
    <c:plotArea>
      <c:layout/>
      <c:doughnutChart>
        <c:varyColors val="1"/>
        <c:ser>
          <c:idx val="0"/>
          <c:order val="0"/>
          <c:spPr>
            <a:solidFill>
              <a:srgbClr val="156082"/>
            </a:solidFill>
            <a:ln w="19050">
              <a:noFill/>
            </a:ln>
            <a:effectLst/>
            <a:extLst>
              <a:ext uri="{91240B29-F687-4F45-9708-019B960494DF}">
                <a14:hiddenLine xmlns:a14="http://schemas.microsoft.com/office/drawing/2010/main" w="19050">
                  <a:solidFill>
                    <a:sysClr val="window" lastClr="FFFFFF"/>
                  </a:solidFill>
                </a14:hiddenLine>
              </a:ext>
            </a:extLst>
          </c:spPr>
          <c:dPt>
            <c:idx val="0"/>
            <c:bubble3D val="0"/>
            <c:spPr>
              <a:solidFill>
                <a:srgbClr val="2F9E6A"/>
              </a:solidFill>
              <a:ln w="19050">
                <a:noFill/>
              </a:ln>
              <a:effectLst/>
              <a:extLst>
                <a:ext uri="{91240B29-F687-4F45-9708-019B960494DF}">
                  <a14:hiddenLine xmlns:a14="http://schemas.microsoft.com/office/drawing/2010/main" w="19050">
                    <a:solidFill>
                      <a:sysClr val="window" lastClr="FFFFFF"/>
                    </a:solidFill>
                  </a14:hiddenLine>
                </a:ext>
              </a:extLst>
            </c:spPr>
            <c:extLst>
              <c:ext xmlns:c16="http://schemas.microsoft.com/office/drawing/2014/chart" uri="{C3380CC4-5D6E-409C-BE32-E72D297353CC}">
                <c16:uniqueId val="{00000001-B824-40AF-BB2A-645AED6ADA07}"/>
              </c:ext>
            </c:extLst>
          </c:dPt>
          <c:dPt>
            <c:idx val="1"/>
            <c:bubble3D val="0"/>
            <c:spPr>
              <a:solidFill>
                <a:srgbClr val="E6E8EF"/>
              </a:solidFill>
              <a:ln w="19050">
                <a:noFill/>
              </a:ln>
              <a:effectLst/>
              <a:extLst>
                <a:ext uri="{91240B29-F687-4F45-9708-019B960494DF}">
                  <a14:hiddenLine xmlns:a14="http://schemas.microsoft.com/office/drawing/2010/main" w="19050">
                    <a:solidFill>
                      <a:sysClr val="window" lastClr="FFFFFF"/>
                    </a:solidFill>
                  </a14:hiddenLine>
                </a:ext>
              </a:extLst>
            </c:spPr>
            <c:extLst>
              <c:ext xmlns:c16="http://schemas.microsoft.com/office/drawing/2014/chart" uri="{C3380CC4-5D6E-409C-BE32-E72D297353CC}">
                <c16:uniqueId val="{00000002-B824-40AF-BB2A-645AED6ADA07}"/>
              </c:ext>
            </c:extLst>
          </c:dPt>
          <c:cat>
            <c:strRef>
              <c:f>Calc!$B$60:$B$61</c:f>
              <c:strCache>
                <c:ptCount val="2"/>
                <c:pt idx="0">
                  <c:v>Done</c:v>
                </c:pt>
                <c:pt idx="1">
                  <c:v>Remaining</c:v>
                </c:pt>
              </c:strCache>
            </c:strRef>
          </c:cat>
          <c:val>
            <c:numRef>
              <c:f>Calc!$C$60:$C$61</c:f>
              <c:numCache>
                <c:formatCode>General</c:formatCode>
                <c:ptCount val="2"/>
                <c:pt idx="0">
                  <c:v>0</c:v>
                </c:pt>
                <c:pt idx="1">
                  <c:v>1</c:v>
                </c:pt>
              </c:numCache>
            </c:numRef>
          </c:val>
          <c:extLst>
            <c:ext xmlns:c16="http://schemas.microsoft.com/office/drawing/2014/chart" uri="{C3380CC4-5D6E-409C-BE32-E72D297353CC}">
              <c16:uniqueId val="{00000000-B824-40AF-BB2A-645AED6ADA07}"/>
            </c:ext>
          </c:extLst>
        </c:ser>
        <c:dLbls>
          <c:showLegendKey val="0"/>
          <c:showVal val="0"/>
          <c:showCatName val="0"/>
          <c:showSerName val="0"/>
          <c:showPercent val="0"/>
          <c:showBubbleSize val="0"/>
          <c:showLeaderLines val="1"/>
        </c:dLbls>
        <c:firstSliceAng val="0"/>
        <c:holeSize val="7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3E6EE"/>
      </a:solidFill>
      <a:round/>
    </a:ln>
    <a:effectLst/>
  </c:spPr>
  <c:txPr>
    <a:bodyPr/>
    <a:lstStyle/>
    <a:p>
      <a:pPr>
        <a:defRPr>
          <a:solidFill>
            <a:srgbClr val="6B7285"/>
          </a:solidFill>
          <a:latin typeface="Segoe UI" panose="020B0502040204020203"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6B7285"/>
                </a:solidFill>
                <a:latin typeface="Segoe UI" panose="020B0502040204020203" pitchFamily="34" charset="0"/>
                <a:ea typeface="+mn-ea"/>
                <a:cs typeface="+mn-cs"/>
              </a:defRPr>
            </a:pPr>
            <a:r>
              <a:rPr lang="en-US"/>
              <a:t>Tasks by status</a:t>
            </a:r>
          </a:p>
        </c:rich>
      </c:tx>
      <c:layout>
        <c:manualLayout>
          <c:xMode val="edge"/>
          <c:yMode val="edge"/>
          <c:x val="3.870967741935484E-2"/>
          <c:y val="2.58620689655172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6B7285"/>
              </a:solidFill>
              <a:latin typeface="Segoe UI" panose="020B0502040204020203" pitchFamily="34" charset="0"/>
              <a:ea typeface="+mn-ea"/>
              <a:cs typeface="+mn-cs"/>
            </a:defRPr>
          </a:pPr>
          <a:endParaRPr lang="en-US"/>
        </a:p>
      </c:txPr>
    </c:title>
    <c:autoTitleDeleted val="0"/>
    <c:plotArea>
      <c:layout/>
      <c:doughnutChart>
        <c:varyColors val="1"/>
        <c:ser>
          <c:idx val="0"/>
          <c:order val="0"/>
          <c:spPr>
            <a:ln>
              <a:solidFill>
                <a:srgbClr val="FFFFFF"/>
              </a:solidFill>
            </a:ln>
          </c:spPr>
          <c:dPt>
            <c:idx val="0"/>
            <c:bubble3D val="0"/>
            <c:spPr>
              <a:solidFill>
                <a:srgbClr val="9AA1B5"/>
              </a:solidFill>
              <a:ln w="19050">
                <a:solidFill>
                  <a:srgbClr val="FFFFFF"/>
                </a:solidFill>
              </a:ln>
              <a:effectLst/>
            </c:spPr>
            <c:extLst>
              <c:ext xmlns:c16="http://schemas.microsoft.com/office/drawing/2014/chart" uri="{C3380CC4-5D6E-409C-BE32-E72D297353CC}">
                <c16:uniqueId val="{00000001-5C2C-43C2-BA98-7588B4629E53}"/>
              </c:ext>
            </c:extLst>
          </c:dPt>
          <c:dPt>
            <c:idx val="1"/>
            <c:bubble3D val="0"/>
            <c:spPr>
              <a:solidFill>
                <a:srgbClr val="5B5BD6"/>
              </a:solidFill>
              <a:ln w="19050">
                <a:solidFill>
                  <a:srgbClr val="FFFFFF"/>
                </a:solidFill>
              </a:ln>
              <a:effectLst/>
            </c:spPr>
            <c:extLst>
              <c:ext xmlns:c16="http://schemas.microsoft.com/office/drawing/2014/chart" uri="{C3380CC4-5D6E-409C-BE32-E72D297353CC}">
                <c16:uniqueId val="{00000002-5C2C-43C2-BA98-7588B4629E53}"/>
              </c:ext>
            </c:extLst>
          </c:dPt>
          <c:dPt>
            <c:idx val="2"/>
            <c:bubble3D val="0"/>
            <c:spPr>
              <a:solidFill>
                <a:srgbClr val="F19A1A"/>
              </a:solidFill>
              <a:ln w="19050">
                <a:solidFill>
                  <a:srgbClr val="FFFFFF"/>
                </a:solidFill>
              </a:ln>
              <a:effectLst/>
            </c:spPr>
            <c:extLst>
              <c:ext xmlns:c16="http://schemas.microsoft.com/office/drawing/2014/chart" uri="{C3380CC4-5D6E-409C-BE32-E72D297353CC}">
                <c16:uniqueId val="{00000003-5C2C-43C2-BA98-7588B4629E53}"/>
              </c:ext>
            </c:extLst>
          </c:dPt>
          <c:dPt>
            <c:idx val="3"/>
            <c:bubble3D val="0"/>
            <c:spPr>
              <a:solidFill>
                <a:srgbClr val="E5484D"/>
              </a:solidFill>
              <a:ln w="19050">
                <a:solidFill>
                  <a:srgbClr val="FFFFFF"/>
                </a:solidFill>
              </a:ln>
              <a:effectLst/>
            </c:spPr>
            <c:extLst>
              <c:ext xmlns:c16="http://schemas.microsoft.com/office/drawing/2014/chart" uri="{C3380CC4-5D6E-409C-BE32-E72D297353CC}">
                <c16:uniqueId val="{00000004-5C2C-43C2-BA98-7588B4629E53}"/>
              </c:ext>
            </c:extLst>
          </c:dPt>
          <c:dPt>
            <c:idx val="4"/>
            <c:bubble3D val="0"/>
            <c:spPr>
              <a:solidFill>
                <a:srgbClr val="2F9E6A"/>
              </a:solidFill>
              <a:ln w="19050">
                <a:solidFill>
                  <a:srgbClr val="FFFFFF"/>
                </a:solidFill>
              </a:ln>
              <a:effectLst/>
            </c:spPr>
            <c:extLst>
              <c:ext xmlns:c16="http://schemas.microsoft.com/office/drawing/2014/chart" uri="{C3380CC4-5D6E-409C-BE32-E72D297353CC}">
                <c16:uniqueId val="{00000005-5C2C-43C2-BA98-7588B4629E5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numRef>
              <c:f>Calc!$B$3:$B$7</c:f>
              <c:numCache>
                <c:formatCode>General</c:formatCode>
                <c:ptCount val="5"/>
                <c:pt idx="0">
                  <c:v>0</c:v>
                </c:pt>
              </c:numCache>
            </c:numRef>
          </c:cat>
          <c:val>
            <c:numRef>
              <c:f>Calc!$C$3:$C$7</c:f>
              <c:numCache>
                <c:formatCode>General</c:formatCode>
                <c:ptCount val="5"/>
                <c:pt idx="0">
                  <c:v>0</c:v>
                </c:pt>
              </c:numCache>
            </c:numRef>
          </c:val>
          <c:extLst>
            <c:ext xmlns:c16="http://schemas.microsoft.com/office/drawing/2014/chart" uri="{C3380CC4-5D6E-409C-BE32-E72D297353CC}">
              <c16:uniqueId val="{00000000-5C2C-43C2-BA98-7588B4629E53}"/>
            </c:ext>
          </c:extLst>
        </c:ser>
        <c:dLbls>
          <c:showLegendKey val="0"/>
          <c:showVal val="0"/>
          <c:showCatName val="0"/>
          <c:showSerName val="0"/>
          <c:showPercent val="0"/>
          <c:showBubbleSize val="0"/>
          <c:showLeaderLines val="0"/>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6B7285"/>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3E6EE"/>
      </a:solidFill>
      <a:round/>
    </a:ln>
    <a:effectLst/>
  </c:spPr>
  <c:txPr>
    <a:bodyPr/>
    <a:lstStyle/>
    <a:p>
      <a:pPr>
        <a:defRPr>
          <a:solidFill>
            <a:srgbClr val="6B7285"/>
          </a:solidFill>
          <a:latin typeface="Segoe UI" panose="020B0502040204020203"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6B7285"/>
                </a:solidFill>
                <a:latin typeface="Segoe UI" panose="020B0502040204020203" pitchFamily="34" charset="0"/>
                <a:ea typeface="+mn-ea"/>
                <a:cs typeface="+mn-cs"/>
              </a:defRPr>
            </a:pPr>
            <a:r>
              <a:rPr lang="en-US"/>
              <a:t>Open tasks by priority</a:t>
            </a:r>
          </a:p>
        </c:rich>
      </c:tx>
      <c:layout>
        <c:manualLayout>
          <c:xMode val="edge"/>
          <c:yMode val="edge"/>
          <c:x val="3.870967741935484E-2"/>
          <c:y val="2.58620689655172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6B7285"/>
              </a:solidFill>
              <a:latin typeface="Segoe UI" panose="020B0502040204020203" pitchFamily="34" charset="0"/>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E5484D"/>
              </a:solidFill>
              <a:ln>
                <a:noFill/>
              </a:ln>
              <a:effectLst/>
            </c:spPr>
            <c:extLst>
              <c:ext xmlns:c16="http://schemas.microsoft.com/office/drawing/2014/chart" uri="{C3380CC4-5D6E-409C-BE32-E72D297353CC}">
                <c16:uniqueId val="{00000001-1F75-439F-B38B-03730AABE3A1}"/>
              </c:ext>
            </c:extLst>
          </c:dPt>
          <c:dPt>
            <c:idx val="1"/>
            <c:invertIfNegative val="0"/>
            <c:bubble3D val="0"/>
            <c:spPr>
              <a:solidFill>
                <a:srgbClr val="F19A1A"/>
              </a:solidFill>
              <a:ln>
                <a:noFill/>
              </a:ln>
              <a:effectLst/>
            </c:spPr>
            <c:extLst>
              <c:ext xmlns:c16="http://schemas.microsoft.com/office/drawing/2014/chart" uri="{C3380CC4-5D6E-409C-BE32-E72D297353CC}">
                <c16:uniqueId val="{00000002-1F75-439F-B38B-03730AABE3A1}"/>
              </c:ext>
            </c:extLst>
          </c:dPt>
          <c:dPt>
            <c:idx val="2"/>
            <c:invertIfNegative val="0"/>
            <c:bubble3D val="0"/>
            <c:spPr>
              <a:solidFill>
                <a:srgbClr val="5B5BD6"/>
              </a:solidFill>
              <a:ln>
                <a:noFill/>
              </a:ln>
              <a:effectLst/>
            </c:spPr>
            <c:extLst>
              <c:ext xmlns:c16="http://schemas.microsoft.com/office/drawing/2014/chart" uri="{C3380CC4-5D6E-409C-BE32-E72D297353CC}">
                <c16:uniqueId val="{00000003-1F75-439F-B38B-03730AABE3A1}"/>
              </c:ext>
            </c:extLst>
          </c:dPt>
          <c:dPt>
            <c:idx val="3"/>
            <c:invertIfNegative val="0"/>
            <c:bubble3D val="0"/>
            <c:spPr>
              <a:solidFill>
                <a:srgbClr val="9AA1B5"/>
              </a:solidFill>
              <a:ln>
                <a:noFill/>
              </a:ln>
              <a:effectLst/>
            </c:spPr>
            <c:extLst>
              <c:ext xmlns:c16="http://schemas.microsoft.com/office/drawing/2014/chart" uri="{C3380CC4-5D6E-409C-BE32-E72D297353CC}">
                <c16:uniqueId val="{00000004-1F75-439F-B38B-03730AABE3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5"/>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Calc!$B$10:$B$13</c:f>
              <c:strCache>
                <c:ptCount val="4"/>
                <c:pt idx="0">
                  <c:v>Urgent</c:v>
                </c:pt>
                <c:pt idx="1">
                  <c:v>High</c:v>
                </c:pt>
                <c:pt idx="2">
                  <c:v>Normal</c:v>
                </c:pt>
                <c:pt idx="3">
                  <c:v>Low</c:v>
                </c:pt>
              </c:strCache>
            </c:strRef>
          </c:cat>
          <c:val>
            <c:numRef>
              <c:f>Calc!$C$10:$C$13</c:f>
              <c:numCache>
                <c:formatCode>General</c:formatCode>
                <c:ptCount val="4"/>
                <c:pt idx="0">
                  <c:v>4</c:v>
                </c:pt>
                <c:pt idx="1">
                  <c:v>15</c:v>
                </c:pt>
                <c:pt idx="2">
                  <c:v>17</c:v>
                </c:pt>
                <c:pt idx="3">
                  <c:v>5</c:v>
                </c:pt>
              </c:numCache>
            </c:numRef>
          </c:val>
          <c:extLst>
            <c:ext xmlns:c16="http://schemas.microsoft.com/office/drawing/2014/chart" uri="{C3380CC4-5D6E-409C-BE32-E72D297353CC}">
              <c16:uniqueId val="{00000000-1F75-439F-B38B-03730AABE3A1}"/>
            </c:ext>
          </c:extLst>
        </c:ser>
        <c:dLbls>
          <c:showLegendKey val="0"/>
          <c:showVal val="0"/>
          <c:showCatName val="0"/>
          <c:showSerName val="0"/>
          <c:showPercent val="0"/>
          <c:showBubbleSize val="0"/>
        </c:dLbls>
        <c:gapWidth val="60"/>
        <c:axId val="1164963536"/>
        <c:axId val="611525776"/>
      </c:barChart>
      <c:catAx>
        <c:axId val="11649635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B7285"/>
                </a:solidFill>
                <a:latin typeface="Segoe UI" panose="020B0502040204020203" pitchFamily="34" charset="0"/>
                <a:ea typeface="+mn-ea"/>
                <a:cs typeface="+mn-cs"/>
              </a:defRPr>
            </a:pPr>
            <a:endParaRPr lang="en-US"/>
          </a:p>
        </c:txPr>
        <c:crossAx val="611525776"/>
        <c:crosses val="autoZero"/>
        <c:auto val="1"/>
        <c:lblAlgn val="ctr"/>
        <c:lblOffset val="100"/>
        <c:noMultiLvlLbl val="0"/>
      </c:catAx>
      <c:valAx>
        <c:axId val="611525776"/>
        <c:scaling>
          <c:orientation val="minMax"/>
        </c:scaling>
        <c:delete val="0"/>
        <c:axPos val="t"/>
        <c:majorGridlines>
          <c:spPr>
            <a:ln w="9525" cap="flat" cmpd="sng" algn="ctr">
              <a:solidFill>
                <a:srgbClr val="EEF0F5"/>
              </a:solidFill>
              <a:round/>
            </a:ln>
            <a:effectLst/>
          </c:spPr>
        </c:majorGridlines>
        <c:numFmt formatCode="General"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rgbClr val="6B7285"/>
                </a:solidFill>
                <a:latin typeface="Segoe UI" panose="020B0502040204020203" pitchFamily="34" charset="0"/>
                <a:ea typeface="+mn-ea"/>
                <a:cs typeface="+mn-cs"/>
              </a:defRPr>
            </a:pPr>
            <a:endParaRPr lang="en-US"/>
          </a:p>
        </c:txPr>
        <c:crossAx val="116496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3E6EE"/>
      </a:solidFill>
      <a:round/>
    </a:ln>
    <a:effectLst/>
  </c:spPr>
  <c:txPr>
    <a:bodyPr/>
    <a:lstStyle/>
    <a:p>
      <a:pPr>
        <a:defRPr>
          <a:solidFill>
            <a:srgbClr val="6B7285"/>
          </a:solidFill>
          <a:latin typeface="Segoe UI" panose="020B0502040204020203"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6B7285"/>
                </a:solidFill>
                <a:latin typeface="Segoe UI" panose="020B0502040204020203" pitchFamily="34" charset="0"/>
                <a:ea typeface="+mn-ea"/>
                <a:cs typeface="+mn-cs"/>
              </a:defRPr>
            </a:pPr>
            <a:r>
              <a:rPr lang="en-US"/>
              <a:t>Workload by member</a:t>
            </a:r>
          </a:p>
        </c:rich>
      </c:tx>
      <c:layout>
        <c:manualLayout>
          <c:xMode val="edge"/>
          <c:yMode val="edge"/>
          <c:x val="2.7447392497712716E-2"/>
          <c:y val="2.29007633587786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6B7285"/>
              </a:solidFill>
              <a:latin typeface="Segoe UI" panose="020B0502040204020203" pitchFamily="34" charset="0"/>
              <a:ea typeface="+mn-ea"/>
              <a:cs typeface="+mn-cs"/>
            </a:defRPr>
          </a:pPr>
          <a:endParaRPr lang="en-US"/>
        </a:p>
      </c:txPr>
    </c:title>
    <c:autoTitleDeleted val="0"/>
    <c:plotArea>
      <c:layout/>
      <c:barChart>
        <c:barDir val="bar"/>
        <c:grouping val="stacked"/>
        <c:varyColors val="0"/>
        <c:ser>
          <c:idx val="0"/>
          <c:order val="0"/>
          <c:tx>
            <c:strRef>
              <c:f>Calc!$C$19</c:f>
              <c:strCache>
                <c:ptCount val="1"/>
                <c:pt idx="0">
                  <c:v>Done</c:v>
                </c:pt>
              </c:strCache>
            </c:strRef>
          </c:tx>
          <c:spPr>
            <a:solidFill>
              <a:srgbClr val="2F9E6A"/>
            </a:solidFill>
            <a:ln>
              <a:noFill/>
            </a:ln>
            <a:effectLst/>
          </c:spPr>
          <c:invertIfNegative val="0"/>
          <c:cat>
            <c:strRef>
              <c:f>Calc!$B$20:$B$29</c:f>
              <c:strCache>
                <c:ptCount val="10"/>
                <c:pt idx="0">
                  <c:v>Sara Ali</c:v>
                </c:pt>
                <c:pt idx="1">
                  <c:v>Omar Haddad</c:v>
                </c:pt>
                <c:pt idx="2">
                  <c:v>Lina Park</c:v>
                </c:pt>
                <c:pt idx="3">
                  <c:v>Jack Moore</c:v>
                </c:pt>
                <c:pt idx="4">
                  <c:v>Maya Chen</c:v>
                </c:pt>
                <c:pt idx="5">
                  <c:v>Ravi Kumar</c:v>
                </c:pt>
                <c:pt idx="6">
                  <c:v>Nora Fischer</c:v>
                </c:pt>
                <c:pt idx="7">
                  <c:v>Diego Santos</c:v>
                </c:pt>
                <c:pt idx="8">
                  <c:v>Aisha Bello</c:v>
                </c:pt>
                <c:pt idx="9">
                  <c:v>Tom Becker</c:v>
                </c:pt>
              </c:strCache>
            </c:strRef>
          </c:cat>
          <c:val>
            <c:numRef>
              <c:f>Calc!$C$20:$C$29</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498C-40B3-92D7-6B62D9FC7830}"/>
            </c:ext>
          </c:extLst>
        </c:ser>
        <c:ser>
          <c:idx val="1"/>
          <c:order val="1"/>
          <c:tx>
            <c:strRef>
              <c:f>Calc!$D$19</c:f>
              <c:strCache>
                <c:ptCount val="1"/>
                <c:pt idx="0">
                  <c:v>Open</c:v>
                </c:pt>
              </c:strCache>
            </c:strRef>
          </c:tx>
          <c:spPr>
            <a:solidFill>
              <a:srgbClr val="5B5BD6"/>
            </a:solidFill>
            <a:ln>
              <a:noFill/>
            </a:ln>
            <a:effectLst/>
          </c:spPr>
          <c:invertIfNegative val="0"/>
          <c:cat>
            <c:strRef>
              <c:f>Calc!$B$20:$B$29</c:f>
              <c:strCache>
                <c:ptCount val="10"/>
                <c:pt idx="0">
                  <c:v>Sara Ali</c:v>
                </c:pt>
                <c:pt idx="1">
                  <c:v>Omar Haddad</c:v>
                </c:pt>
                <c:pt idx="2">
                  <c:v>Lina Park</c:v>
                </c:pt>
                <c:pt idx="3">
                  <c:v>Jack Moore</c:v>
                </c:pt>
                <c:pt idx="4">
                  <c:v>Maya Chen</c:v>
                </c:pt>
                <c:pt idx="5">
                  <c:v>Ravi Kumar</c:v>
                </c:pt>
                <c:pt idx="6">
                  <c:v>Nora Fischer</c:v>
                </c:pt>
                <c:pt idx="7">
                  <c:v>Diego Santos</c:v>
                </c:pt>
                <c:pt idx="8">
                  <c:v>Aisha Bello</c:v>
                </c:pt>
                <c:pt idx="9">
                  <c:v>Tom Becker</c:v>
                </c:pt>
              </c:strCache>
            </c:strRef>
          </c:cat>
          <c:val>
            <c:numRef>
              <c:f>Calc!$D$20:$D$29</c:f>
              <c:numCache>
                <c:formatCode>General</c:formatCode>
                <c:ptCount val="10"/>
                <c:pt idx="0">
                  <c:v>3</c:v>
                </c:pt>
                <c:pt idx="1">
                  <c:v>2</c:v>
                </c:pt>
                <c:pt idx="2">
                  <c:v>2</c:v>
                </c:pt>
                <c:pt idx="3">
                  <c:v>2</c:v>
                </c:pt>
                <c:pt idx="4">
                  <c:v>2</c:v>
                </c:pt>
                <c:pt idx="5">
                  <c:v>2</c:v>
                </c:pt>
                <c:pt idx="6">
                  <c:v>4</c:v>
                </c:pt>
                <c:pt idx="7">
                  <c:v>3</c:v>
                </c:pt>
                <c:pt idx="8">
                  <c:v>6</c:v>
                </c:pt>
                <c:pt idx="9">
                  <c:v>2</c:v>
                </c:pt>
              </c:numCache>
            </c:numRef>
          </c:val>
          <c:extLst>
            <c:ext xmlns:c16="http://schemas.microsoft.com/office/drawing/2014/chart" uri="{C3380CC4-5D6E-409C-BE32-E72D297353CC}">
              <c16:uniqueId val="{00000001-498C-40B3-92D7-6B62D9FC7830}"/>
            </c:ext>
          </c:extLst>
        </c:ser>
        <c:ser>
          <c:idx val="2"/>
          <c:order val="2"/>
          <c:tx>
            <c:strRef>
              <c:f>Calc!$E$19</c:f>
              <c:strCache>
                <c:ptCount val="1"/>
                <c:pt idx="0">
                  <c:v>Overdue</c:v>
                </c:pt>
              </c:strCache>
            </c:strRef>
          </c:tx>
          <c:spPr>
            <a:solidFill>
              <a:srgbClr val="E5484D"/>
            </a:solidFill>
            <a:ln>
              <a:noFill/>
            </a:ln>
            <a:effectLst/>
          </c:spPr>
          <c:invertIfNegative val="0"/>
          <c:cat>
            <c:strRef>
              <c:f>Calc!$B$20:$B$29</c:f>
              <c:strCache>
                <c:ptCount val="10"/>
                <c:pt idx="0">
                  <c:v>Sara Ali</c:v>
                </c:pt>
                <c:pt idx="1">
                  <c:v>Omar Haddad</c:v>
                </c:pt>
                <c:pt idx="2">
                  <c:v>Lina Park</c:v>
                </c:pt>
                <c:pt idx="3">
                  <c:v>Jack Moore</c:v>
                </c:pt>
                <c:pt idx="4">
                  <c:v>Maya Chen</c:v>
                </c:pt>
                <c:pt idx="5">
                  <c:v>Ravi Kumar</c:v>
                </c:pt>
                <c:pt idx="6">
                  <c:v>Nora Fischer</c:v>
                </c:pt>
                <c:pt idx="7">
                  <c:v>Diego Santos</c:v>
                </c:pt>
                <c:pt idx="8">
                  <c:v>Aisha Bello</c:v>
                </c:pt>
                <c:pt idx="9">
                  <c:v>Tom Becker</c:v>
                </c:pt>
              </c:strCache>
            </c:strRef>
          </c:cat>
          <c:val>
            <c:numRef>
              <c:f>Calc!$E$20:$E$29</c:f>
              <c:numCache>
                <c:formatCode>General</c:formatCode>
                <c:ptCount val="10"/>
                <c:pt idx="0">
                  <c:v>1</c:v>
                </c:pt>
                <c:pt idx="1">
                  <c:v>0</c:v>
                </c:pt>
                <c:pt idx="2">
                  <c:v>1</c:v>
                </c:pt>
                <c:pt idx="3">
                  <c:v>3</c:v>
                </c:pt>
                <c:pt idx="4">
                  <c:v>2</c:v>
                </c:pt>
                <c:pt idx="5">
                  <c:v>1</c:v>
                </c:pt>
                <c:pt idx="6">
                  <c:v>2</c:v>
                </c:pt>
                <c:pt idx="7">
                  <c:v>1</c:v>
                </c:pt>
                <c:pt idx="8">
                  <c:v>0</c:v>
                </c:pt>
                <c:pt idx="9">
                  <c:v>2</c:v>
                </c:pt>
              </c:numCache>
            </c:numRef>
          </c:val>
          <c:extLst>
            <c:ext xmlns:c16="http://schemas.microsoft.com/office/drawing/2014/chart" uri="{C3380CC4-5D6E-409C-BE32-E72D297353CC}">
              <c16:uniqueId val="{00000002-498C-40B3-92D7-6B62D9FC7830}"/>
            </c:ext>
          </c:extLst>
        </c:ser>
        <c:dLbls>
          <c:showLegendKey val="0"/>
          <c:showVal val="0"/>
          <c:showCatName val="0"/>
          <c:showSerName val="0"/>
          <c:showPercent val="0"/>
          <c:showBubbleSize val="0"/>
        </c:dLbls>
        <c:gapWidth val="50"/>
        <c:overlap val="100"/>
        <c:axId val="1164961216"/>
        <c:axId val="611540176"/>
      </c:barChart>
      <c:catAx>
        <c:axId val="11649612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B7285"/>
                </a:solidFill>
                <a:latin typeface="Segoe UI" panose="020B0502040204020203" pitchFamily="34" charset="0"/>
                <a:ea typeface="+mn-ea"/>
                <a:cs typeface="+mn-cs"/>
              </a:defRPr>
            </a:pPr>
            <a:endParaRPr lang="en-US"/>
          </a:p>
        </c:txPr>
        <c:crossAx val="611540176"/>
        <c:crosses val="autoZero"/>
        <c:auto val="1"/>
        <c:lblAlgn val="ctr"/>
        <c:lblOffset val="100"/>
        <c:noMultiLvlLbl val="0"/>
      </c:catAx>
      <c:valAx>
        <c:axId val="611540176"/>
        <c:scaling>
          <c:orientation val="minMax"/>
        </c:scaling>
        <c:delete val="0"/>
        <c:axPos val="t"/>
        <c:majorGridlines>
          <c:spPr>
            <a:ln w="9525" cap="flat" cmpd="sng" algn="ctr">
              <a:solidFill>
                <a:srgbClr val="EEF0F5"/>
              </a:solidFill>
              <a:round/>
            </a:ln>
            <a:effectLst/>
          </c:spPr>
        </c:majorGridlines>
        <c:numFmt formatCode="General"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rgbClr val="6B7285"/>
                </a:solidFill>
                <a:latin typeface="Segoe UI" panose="020B0502040204020203" pitchFamily="34" charset="0"/>
                <a:ea typeface="+mn-ea"/>
                <a:cs typeface="+mn-cs"/>
              </a:defRPr>
            </a:pPr>
            <a:endParaRPr lang="en-US"/>
          </a:p>
        </c:txPr>
        <c:crossAx val="1164961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6B7285"/>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3E6EE"/>
      </a:solidFill>
      <a:round/>
    </a:ln>
    <a:effectLst/>
  </c:spPr>
  <c:txPr>
    <a:bodyPr/>
    <a:lstStyle/>
    <a:p>
      <a:pPr>
        <a:defRPr>
          <a:solidFill>
            <a:srgbClr val="6B7285"/>
          </a:solidFill>
          <a:latin typeface="Segoe UI" panose="020B0502040204020203"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6B7285"/>
                </a:solidFill>
                <a:latin typeface="Segoe UI" panose="020B0502040204020203" pitchFamily="34" charset="0"/>
                <a:ea typeface="+mn-ea"/>
                <a:cs typeface="+mn-cs"/>
              </a:defRPr>
            </a:pPr>
            <a:r>
              <a:rPr lang="en-US"/>
              <a:t>Weekly pace: tasks added vs completed (last 8 weeks)</a:t>
            </a:r>
          </a:p>
        </c:rich>
      </c:tx>
      <c:layout>
        <c:manualLayout>
          <c:xMode val="edge"/>
          <c:yMode val="edge"/>
          <c:x val="2.7447392497712716E-2"/>
          <c:y val="2.29007633587786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6B7285"/>
              </a:solidFill>
              <a:latin typeface="Segoe UI" panose="020B0502040204020203" pitchFamily="34" charset="0"/>
              <a:ea typeface="+mn-ea"/>
              <a:cs typeface="+mn-cs"/>
            </a:defRPr>
          </a:pPr>
          <a:endParaRPr lang="en-US"/>
        </a:p>
      </c:txPr>
    </c:title>
    <c:autoTitleDeleted val="0"/>
    <c:plotArea>
      <c:layout/>
      <c:barChart>
        <c:barDir val="col"/>
        <c:grouping val="clustered"/>
        <c:varyColors val="0"/>
        <c:ser>
          <c:idx val="0"/>
          <c:order val="0"/>
          <c:tx>
            <c:strRef>
              <c:f>Calc!$D$44</c:f>
              <c:strCache>
                <c:ptCount val="1"/>
                <c:pt idx="0">
                  <c:v>Added</c:v>
                </c:pt>
              </c:strCache>
            </c:strRef>
          </c:tx>
          <c:spPr>
            <a:solidFill>
              <a:srgbClr val="5B5BD6"/>
            </a:solidFill>
            <a:ln>
              <a:noFill/>
            </a:ln>
            <a:effectLst/>
          </c:spPr>
          <c:invertIfNegative val="0"/>
          <c:cat>
            <c:strRef>
              <c:f>Calc!$C$45:$C$52</c:f>
              <c:strCache>
                <c:ptCount val="8"/>
                <c:pt idx="0">
                  <c:v>24 Aug</c:v>
                </c:pt>
                <c:pt idx="1">
                  <c:v>31 Aug</c:v>
                </c:pt>
                <c:pt idx="2">
                  <c:v>7 Sep</c:v>
                </c:pt>
                <c:pt idx="3">
                  <c:v>14 Sep</c:v>
                </c:pt>
                <c:pt idx="4">
                  <c:v>21 Sep</c:v>
                </c:pt>
                <c:pt idx="5">
                  <c:v>28 Sep</c:v>
                </c:pt>
                <c:pt idx="6">
                  <c:v>5 Oct</c:v>
                </c:pt>
                <c:pt idx="7">
                  <c:v>12 Oct</c:v>
                </c:pt>
              </c:strCache>
            </c:strRef>
          </c:cat>
          <c:val>
            <c:numRef>
              <c:f>Calc!$D$45:$D$52</c:f>
              <c:numCache>
                <c:formatCode>General</c:formatCode>
                <c:ptCount val="8"/>
                <c:pt idx="0">
                  <c:v>1</c:v>
                </c:pt>
                <c:pt idx="1">
                  <c:v>1</c:v>
                </c:pt>
                <c:pt idx="2">
                  <c:v>3</c:v>
                </c:pt>
                <c:pt idx="3">
                  <c:v>2</c:v>
                </c:pt>
                <c:pt idx="4">
                  <c:v>4</c:v>
                </c:pt>
                <c:pt idx="5">
                  <c:v>7</c:v>
                </c:pt>
                <c:pt idx="6">
                  <c:v>12</c:v>
                </c:pt>
                <c:pt idx="7">
                  <c:v>11</c:v>
                </c:pt>
              </c:numCache>
            </c:numRef>
          </c:val>
          <c:extLst>
            <c:ext xmlns:c16="http://schemas.microsoft.com/office/drawing/2014/chart" uri="{C3380CC4-5D6E-409C-BE32-E72D297353CC}">
              <c16:uniqueId val="{00000000-C7EE-44A9-8515-6A30D714D80C}"/>
            </c:ext>
          </c:extLst>
        </c:ser>
        <c:ser>
          <c:idx val="1"/>
          <c:order val="1"/>
          <c:tx>
            <c:strRef>
              <c:f>Calc!$E$44</c:f>
              <c:strCache>
                <c:ptCount val="1"/>
                <c:pt idx="0">
                  <c:v>Completed</c:v>
                </c:pt>
              </c:strCache>
            </c:strRef>
          </c:tx>
          <c:spPr>
            <a:solidFill>
              <a:srgbClr val="2F9E6A"/>
            </a:solidFill>
            <a:ln>
              <a:noFill/>
            </a:ln>
            <a:effectLst/>
          </c:spPr>
          <c:invertIfNegative val="0"/>
          <c:cat>
            <c:strRef>
              <c:f>Calc!$C$45:$C$52</c:f>
              <c:strCache>
                <c:ptCount val="8"/>
                <c:pt idx="0">
                  <c:v>24 Aug</c:v>
                </c:pt>
                <c:pt idx="1">
                  <c:v>31 Aug</c:v>
                </c:pt>
                <c:pt idx="2">
                  <c:v>7 Sep</c:v>
                </c:pt>
                <c:pt idx="3">
                  <c:v>14 Sep</c:v>
                </c:pt>
                <c:pt idx="4">
                  <c:v>21 Sep</c:v>
                </c:pt>
                <c:pt idx="5">
                  <c:v>28 Sep</c:v>
                </c:pt>
                <c:pt idx="6">
                  <c:v>5 Oct</c:v>
                </c:pt>
                <c:pt idx="7">
                  <c:v>12 Oct</c:v>
                </c:pt>
              </c:strCache>
            </c:strRef>
          </c:cat>
          <c:val>
            <c:numRef>
              <c:f>Calc!$E$45:$E$52</c:f>
              <c:numCache>
                <c:formatCode>General</c:formatCode>
                <c:ptCount val="8"/>
                <c:pt idx="0">
                  <c:v>0</c:v>
                </c:pt>
                <c:pt idx="1">
                  <c:v>0</c:v>
                </c:pt>
                <c:pt idx="2">
                  <c:v>0</c:v>
                </c:pt>
                <c:pt idx="3">
                  <c:v>0</c:v>
                </c:pt>
                <c:pt idx="4">
                  <c:v>1</c:v>
                </c:pt>
                <c:pt idx="5">
                  <c:v>2</c:v>
                </c:pt>
                <c:pt idx="6">
                  <c:v>4</c:v>
                </c:pt>
                <c:pt idx="7">
                  <c:v>3</c:v>
                </c:pt>
              </c:numCache>
            </c:numRef>
          </c:val>
          <c:extLst>
            <c:ext xmlns:c16="http://schemas.microsoft.com/office/drawing/2014/chart" uri="{C3380CC4-5D6E-409C-BE32-E72D297353CC}">
              <c16:uniqueId val="{00000001-C7EE-44A9-8515-6A30D714D80C}"/>
            </c:ext>
          </c:extLst>
        </c:ser>
        <c:dLbls>
          <c:showLegendKey val="0"/>
          <c:showVal val="0"/>
          <c:showCatName val="0"/>
          <c:showSerName val="0"/>
          <c:showPercent val="0"/>
          <c:showBubbleSize val="0"/>
        </c:dLbls>
        <c:gapWidth val="80"/>
        <c:overlap val="-10"/>
        <c:axId val="1162845616"/>
        <c:axId val="611554096"/>
      </c:barChart>
      <c:catAx>
        <c:axId val="116284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B7285"/>
                </a:solidFill>
                <a:latin typeface="Segoe UI" panose="020B0502040204020203" pitchFamily="34" charset="0"/>
                <a:ea typeface="+mn-ea"/>
                <a:cs typeface="+mn-cs"/>
              </a:defRPr>
            </a:pPr>
            <a:endParaRPr lang="en-US"/>
          </a:p>
        </c:txPr>
        <c:crossAx val="611554096"/>
        <c:crosses val="autoZero"/>
        <c:auto val="1"/>
        <c:lblAlgn val="ctr"/>
        <c:lblOffset val="100"/>
        <c:noMultiLvlLbl val="0"/>
      </c:catAx>
      <c:valAx>
        <c:axId val="611554096"/>
        <c:scaling>
          <c:orientation val="minMax"/>
        </c:scaling>
        <c:delete val="0"/>
        <c:axPos val="l"/>
        <c:majorGridlines>
          <c:spPr>
            <a:ln w="9525" cap="flat" cmpd="sng" algn="ctr">
              <a:solidFill>
                <a:srgbClr val="EEF0F5"/>
              </a:solidFill>
              <a:round/>
            </a:ln>
            <a:effectLst/>
          </c:spPr>
        </c:majorGridlines>
        <c:numFmt formatCode="General"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rgbClr val="6B7285"/>
                </a:solidFill>
                <a:latin typeface="Segoe UI" panose="020B0502040204020203" pitchFamily="34" charset="0"/>
                <a:ea typeface="+mn-ea"/>
                <a:cs typeface="+mn-cs"/>
              </a:defRPr>
            </a:pPr>
            <a:endParaRPr lang="en-US"/>
          </a:p>
        </c:txPr>
        <c:crossAx val="1162845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6B7285"/>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3E6EE"/>
      </a:solidFill>
      <a:round/>
    </a:ln>
    <a:effectLst/>
  </c:spPr>
  <c:txPr>
    <a:bodyPr/>
    <a:lstStyle/>
    <a:p>
      <a:pPr>
        <a:defRPr>
          <a:solidFill>
            <a:srgbClr val="6B7285"/>
          </a:solidFill>
          <a:latin typeface="Segoe UI" panose="020B0502040204020203"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6B7285"/>
                </a:solidFill>
                <a:latin typeface="Segoe UI" panose="020B0502040204020203" pitchFamily="34" charset="0"/>
                <a:ea typeface="+mn-ea"/>
                <a:cs typeface="+mn-cs"/>
              </a:defRPr>
            </a:pPr>
            <a:r>
              <a:rPr lang="en-US"/>
              <a:t>Score leaderboard</a:t>
            </a:r>
          </a:p>
        </c:rich>
      </c:tx>
      <c:layout>
        <c:manualLayout>
          <c:xMode val="edge"/>
          <c:yMode val="edge"/>
          <c:x val="2.6223776223776224E-2"/>
          <c:y val="1.6510731975784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6B7285"/>
              </a:solidFill>
              <a:latin typeface="Segoe UI" panose="020B0502040204020203" pitchFamily="34" charset="0"/>
              <a:ea typeface="+mn-ea"/>
              <a:cs typeface="+mn-cs"/>
            </a:defRPr>
          </a:pPr>
          <a:endParaRPr lang="en-US"/>
        </a:p>
      </c:txPr>
    </c:title>
    <c:autoTitleDeleted val="0"/>
    <c:plotArea>
      <c:layout/>
      <c:barChart>
        <c:barDir val="bar"/>
        <c:grouping val="clustered"/>
        <c:varyColors val="0"/>
        <c:ser>
          <c:idx val="0"/>
          <c:order val="0"/>
          <c:spPr>
            <a:solidFill>
              <a:srgbClr val="5B5BD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B7285"/>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Scorecards!$B$8:$B$17</c:f>
              <c:strCache>
                <c:ptCount val="10"/>
                <c:pt idx="0">
                  <c:v>Sara Ali</c:v>
                </c:pt>
                <c:pt idx="1">
                  <c:v>Omar Haddad</c:v>
                </c:pt>
                <c:pt idx="2">
                  <c:v>Lina Park</c:v>
                </c:pt>
                <c:pt idx="3">
                  <c:v>Jack Moore</c:v>
                </c:pt>
                <c:pt idx="4">
                  <c:v>Maya Chen</c:v>
                </c:pt>
                <c:pt idx="5">
                  <c:v>Ravi Kumar</c:v>
                </c:pt>
                <c:pt idx="6">
                  <c:v>Nora Fischer</c:v>
                </c:pt>
                <c:pt idx="7">
                  <c:v>Diego Santos</c:v>
                </c:pt>
                <c:pt idx="8">
                  <c:v>Aisha Bello</c:v>
                </c:pt>
                <c:pt idx="9">
                  <c:v>Tom Becker</c:v>
                </c:pt>
              </c:strCache>
            </c:strRef>
          </c:cat>
          <c:val>
            <c:numRef>
              <c:f>Scorecards!$I$8:$I$17</c:f>
              <c:numCache>
                <c:formatCode>General</c:formatCode>
                <c:ptCount val="10"/>
                <c:pt idx="0">
                  <c:v>15</c:v>
                </c:pt>
                <c:pt idx="1">
                  <c:v>20</c:v>
                </c:pt>
                <c:pt idx="2">
                  <c:v>13</c:v>
                </c:pt>
                <c:pt idx="3">
                  <c:v>8</c:v>
                </c:pt>
                <c:pt idx="4">
                  <c:v>10</c:v>
                </c:pt>
                <c:pt idx="5">
                  <c:v>13</c:v>
                </c:pt>
                <c:pt idx="6">
                  <c:v>13</c:v>
                </c:pt>
                <c:pt idx="7">
                  <c:v>15</c:v>
                </c:pt>
                <c:pt idx="8">
                  <c:v>20</c:v>
                </c:pt>
                <c:pt idx="9">
                  <c:v>10</c:v>
                </c:pt>
              </c:numCache>
            </c:numRef>
          </c:val>
          <c:extLst>
            <c:ext xmlns:c16="http://schemas.microsoft.com/office/drawing/2014/chart" uri="{C3380CC4-5D6E-409C-BE32-E72D297353CC}">
              <c16:uniqueId val="{00000000-5631-4514-864C-8952464036A6}"/>
            </c:ext>
          </c:extLst>
        </c:ser>
        <c:dLbls>
          <c:showLegendKey val="0"/>
          <c:showVal val="0"/>
          <c:showCatName val="0"/>
          <c:showSerName val="0"/>
          <c:showPercent val="0"/>
          <c:showBubbleSize val="0"/>
        </c:dLbls>
        <c:gapWidth val="45"/>
        <c:axId val="1164960752"/>
        <c:axId val="611547376"/>
      </c:barChart>
      <c:catAx>
        <c:axId val="11649607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B7285"/>
                </a:solidFill>
                <a:latin typeface="Segoe UI" panose="020B0502040204020203" pitchFamily="34" charset="0"/>
                <a:ea typeface="+mn-ea"/>
                <a:cs typeface="+mn-cs"/>
              </a:defRPr>
            </a:pPr>
            <a:endParaRPr lang="en-US"/>
          </a:p>
        </c:txPr>
        <c:crossAx val="611547376"/>
        <c:crosses val="autoZero"/>
        <c:auto val="1"/>
        <c:lblAlgn val="ctr"/>
        <c:lblOffset val="100"/>
        <c:noMultiLvlLbl val="0"/>
      </c:catAx>
      <c:valAx>
        <c:axId val="611547376"/>
        <c:scaling>
          <c:orientation val="minMax"/>
          <c:max val="100"/>
          <c:min val="0"/>
        </c:scaling>
        <c:delete val="0"/>
        <c:axPos val="t"/>
        <c:majorGridlines>
          <c:spPr>
            <a:ln w="9525" cap="flat" cmpd="sng" algn="ctr">
              <a:solidFill>
                <a:srgbClr val="EEF0F5"/>
              </a:solidFill>
              <a:round/>
            </a:ln>
            <a:effectLst/>
          </c:spPr>
        </c:majorGridlines>
        <c:numFmt formatCode="General"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900" b="0" i="0" u="none" strike="noStrike" kern="1200" baseline="0">
                <a:solidFill>
                  <a:srgbClr val="6B7285"/>
                </a:solidFill>
                <a:latin typeface="Segoe UI" panose="020B0502040204020203" pitchFamily="34" charset="0"/>
                <a:ea typeface="+mn-ea"/>
                <a:cs typeface="+mn-cs"/>
              </a:defRPr>
            </a:pPr>
            <a:endParaRPr lang="en-US"/>
          </a:p>
        </c:txPr>
        <c:crossAx val="1164960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3E6EE"/>
      </a:solidFill>
      <a:round/>
    </a:ln>
    <a:effectLst/>
  </c:spPr>
  <c:txPr>
    <a:bodyPr/>
    <a:lstStyle/>
    <a:p>
      <a:pPr>
        <a:defRPr>
          <a:solidFill>
            <a:srgbClr val="6B7285"/>
          </a:solidFill>
          <a:latin typeface="Segoe UI" panose="020B0502040204020203"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50800</xdr:colOff>
      <xdr:row>16</xdr:row>
      <xdr:rowOff>50800</xdr:rowOff>
    </xdr:from>
    <xdr:to>
      <xdr:col>4</xdr:col>
      <xdr:colOff>756920</xdr:colOff>
      <xdr:row>31</xdr:row>
      <xdr:rowOff>139700</xdr:rowOff>
    </xdr:to>
    <xdr:graphicFrame macro="">
      <xdr:nvGraphicFramePr>
        <xdr:cNvPr id="2" name="Chart 1">
          <a:extLst>
            <a:ext uri="{FF2B5EF4-FFF2-40B4-BE49-F238E27FC236}">
              <a16:creationId xmlns:a16="http://schemas.microsoft.com/office/drawing/2014/main" id="{E10AD249-1097-F2E8-12D6-3017B0525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50800</xdr:colOff>
      <xdr:row>16</xdr:row>
      <xdr:rowOff>50800</xdr:rowOff>
    </xdr:from>
    <xdr:to>
      <xdr:col>9</xdr:col>
      <xdr:colOff>756920</xdr:colOff>
      <xdr:row>31</xdr:row>
      <xdr:rowOff>139700</xdr:rowOff>
    </xdr:to>
    <xdr:graphicFrame macro="">
      <xdr:nvGraphicFramePr>
        <xdr:cNvPr id="3" name="Chart 2">
          <a:extLst>
            <a:ext uri="{FF2B5EF4-FFF2-40B4-BE49-F238E27FC236}">
              <a16:creationId xmlns:a16="http://schemas.microsoft.com/office/drawing/2014/main" id="{07AC470A-BF94-136B-7E75-3AC794F554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50800</xdr:colOff>
      <xdr:row>16</xdr:row>
      <xdr:rowOff>50800</xdr:rowOff>
    </xdr:from>
    <xdr:to>
      <xdr:col>14</xdr:col>
      <xdr:colOff>756920</xdr:colOff>
      <xdr:row>31</xdr:row>
      <xdr:rowOff>139700</xdr:rowOff>
    </xdr:to>
    <xdr:graphicFrame macro="">
      <xdr:nvGraphicFramePr>
        <xdr:cNvPr id="4" name="Chart 3">
          <a:extLst>
            <a:ext uri="{FF2B5EF4-FFF2-40B4-BE49-F238E27FC236}">
              <a16:creationId xmlns:a16="http://schemas.microsoft.com/office/drawing/2014/main" id="{7D4678A2-3127-DE59-00FB-C6A0FE17A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50800</xdr:colOff>
      <xdr:row>33</xdr:row>
      <xdr:rowOff>50800</xdr:rowOff>
    </xdr:from>
    <xdr:to>
      <xdr:col>7</xdr:col>
      <xdr:colOff>756920</xdr:colOff>
      <xdr:row>50</xdr:row>
      <xdr:rowOff>139700</xdr:rowOff>
    </xdr:to>
    <xdr:graphicFrame macro="">
      <xdr:nvGraphicFramePr>
        <xdr:cNvPr id="5" name="Chart 4">
          <a:extLst>
            <a:ext uri="{FF2B5EF4-FFF2-40B4-BE49-F238E27FC236}">
              <a16:creationId xmlns:a16="http://schemas.microsoft.com/office/drawing/2014/main" id="{5F108B8F-1AFE-C198-57A8-571B7D4CA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50800</xdr:colOff>
      <xdr:row>33</xdr:row>
      <xdr:rowOff>50800</xdr:rowOff>
    </xdr:from>
    <xdr:to>
      <xdr:col>14</xdr:col>
      <xdr:colOff>756920</xdr:colOff>
      <xdr:row>50</xdr:row>
      <xdr:rowOff>139700</xdr:rowOff>
    </xdr:to>
    <xdr:graphicFrame macro="">
      <xdr:nvGraphicFramePr>
        <xdr:cNvPr id="6" name="Chart 5">
          <a:extLst>
            <a:ext uri="{FF2B5EF4-FFF2-40B4-BE49-F238E27FC236}">
              <a16:creationId xmlns:a16="http://schemas.microsoft.com/office/drawing/2014/main" id="{885CFE59-E1DA-1E0C-9B7A-FEA5A9C82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xdr:col>
      <xdr:colOff>2241</xdr:colOff>
      <xdr:row>4</xdr:row>
      <xdr:rowOff>184225</xdr:rowOff>
    </xdr:from>
    <xdr:to>
      <xdr:col>4</xdr:col>
      <xdr:colOff>731878</xdr:colOff>
      <xdr:row>8</xdr:row>
      <xdr:rowOff>270884</xdr:rowOff>
    </xdr:to>
    <mc:AlternateContent xmlns:mc="http://schemas.openxmlformats.org/markup-compatibility/2006" xmlns:sle15="http://schemas.microsoft.com/office/drawing/2012/slicer">
      <mc:Choice Requires="sle15">
        <xdr:graphicFrame macro="">
          <xdr:nvGraphicFramePr>
            <xdr:cNvPr id="7" name="slDashProject">
              <a:extLst>
                <a:ext uri="{FF2B5EF4-FFF2-40B4-BE49-F238E27FC236}">
                  <a16:creationId xmlns:a16="http://schemas.microsoft.com/office/drawing/2014/main" id="{F5470EC5-70CD-C4F7-A47E-23FCC6FE9FAA}"/>
                </a:ext>
              </a:extLst>
            </xdr:cNvPr>
            <xdr:cNvGraphicFramePr/>
          </xdr:nvGraphicFramePr>
          <xdr:xfrm>
            <a:off x="0" y="0"/>
            <a:ext cx="0" cy="0"/>
          </xdr:xfrm>
          <a:graphic>
            <a:graphicData uri="http://schemas.microsoft.com/office/drawing/2010/slicer">
              <sle:slicer xmlns:sle="http://schemas.microsoft.com/office/drawing/2010/slicer" name="slDashProject"/>
            </a:graphicData>
          </a:graphic>
        </xdr:graphicFrame>
      </mc:Choice>
      <mc:Fallback xmlns="">
        <xdr:sp macro="" textlink="">
          <xdr:nvSpPr>
            <xdr:cNvPr id="0" name=""/>
            <xdr:cNvSpPr>
              <a:spLocks noTextEdit="1"/>
            </xdr:cNvSpPr>
          </xdr:nvSpPr>
          <xdr:spPr>
            <a:xfrm>
              <a:off x="190500" y="1089660"/>
              <a:ext cx="3150107" cy="127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5826</xdr:colOff>
      <xdr:row>4</xdr:row>
      <xdr:rowOff>184225</xdr:rowOff>
    </xdr:from>
    <xdr:to>
      <xdr:col>9</xdr:col>
      <xdr:colOff>736360</xdr:colOff>
      <xdr:row>8</xdr:row>
      <xdr:rowOff>270884</xdr:rowOff>
    </xdr:to>
    <mc:AlternateContent xmlns:mc="http://schemas.openxmlformats.org/markup-compatibility/2006" xmlns:sle15="http://schemas.microsoft.com/office/drawing/2012/slicer">
      <mc:Choice Requires="sle15">
        <xdr:graphicFrame macro="">
          <xdr:nvGraphicFramePr>
            <xdr:cNvPr id="8" name="slDashOwner">
              <a:extLst>
                <a:ext uri="{FF2B5EF4-FFF2-40B4-BE49-F238E27FC236}">
                  <a16:creationId xmlns:a16="http://schemas.microsoft.com/office/drawing/2014/main" id="{9C736E18-3C83-59D8-B69A-93557D1AE3B6}"/>
                </a:ext>
              </a:extLst>
            </xdr:cNvPr>
            <xdr:cNvGraphicFramePr/>
          </xdr:nvGraphicFramePr>
          <xdr:xfrm>
            <a:off x="0" y="0"/>
            <a:ext cx="0" cy="0"/>
          </xdr:xfrm>
          <a:graphic>
            <a:graphicData uri="http://schemas.microsoft.com/office/drawing/2010/slicer">
              <sle:slicer xmlns:sle="http://schemas.microsoft.com/office/drawing/2010/slicer" name="slDashOwner"/>
            </a:graphicData>
          </a:graphic>
        </xdr:graphicFrame>
      </mc:Choice>
      <mc:Fallback xmlns="">
        <xdr:sp macro="" textlink="">
          <xdr:nvSpPr>
            <xdr:cNvPr id="0" name=""/>
            <xdr:cNvSpPr>
              <a:spLocks noTextEdit="1"/>
            </xdr:cNvSpPr>
          </xdr:nvSpPr>
          <xdr:spPr>
            <a:xfrm>
              <a:off x="3421379" y="1089660"/>
              <a:ext cx="3957828" cy="127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10309</xdr:colOff>
      <xdr:row>4</xdr:row>
      <xdr:rowOff>184225</xdr:rowOff>
    </xdr:from>
    <xdr:to>
      <xdr:col>11</xdr:col>
      <xdr:colOff>738153</xdr:colOff>
      <xdr:row>8</xdr:row>
      <xdr:rowOff>270884</xdr:rowOff>
    </xdr:to>
    <mc:AlternateContent xmlns:mc="http://schemas.openxmlformats.org/markup-compatibility/2006" xmlns:sle15="http://schemas.microsoft.com/office/drawing/2012/slicer">
      <mc:Choice Requires="sle15">
        <xdr:graphicFrame macro="">
          <xdr:nvGraphicFramePr>
            <xdr:cNvPr id="9" name="slDashPriority">
              <a:extLst>
                <a:ext uri="{FF2B5EF4-FFF2-40B4-BE49-F238E27FC236}">
                  <a16:creationId xmlns:a16="http://schemas.microsoft.com/office/drawing/2014/main" id="{27619DD9-0FB1-53FC-BAEB-8AE298E38A37}"/>
                </a:ext>
              </a:extLst>
            </xdr:cNvPr>
            <xdr:cNvGraphicFramePr/>
          </xdr:nvGraphicFramePr>
          <xdr:xfrm>
            <a:off x="0" y="0"/>
            <a:ext cx="0" cy="0"/>
          </xdr:xfrm>
          <a:graphic>
            <a:graphicData uri="http://schemas.microsoft.com/office/drawing/2010/slicer">
              <sle:slicer xmlns:sle="http://schemas.microsoft.com/office/drawing/2010/slicer" name="slDashPriority"/>
            </a:graphicData>
          </a:graphic>
        </xdr:graphicFrame>
      </mc:Choice>
      <mc:Fallback xmlns="">
        <xdr:sp macro="" textlink="">
          <xdr:nvSpPr>
            <xdr:cNvPr id="0" name=""/>
            <xdr:cNvSpPr>
              <a:spLocks noTextEdit="1"/>
            </xdr:cNvSpPr>
          </xdr:nvSpPr>
          <xdr:spPr>
            <a:xfrm>
              <a:off x="7459980" y="1089660"/>
              <a:ext cx="1534667" cy="127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12102</xdr:colOff>
      <xdr:row>4</xdr:row>
      <xdr:rowOff>184225</xdr:rowOff>
    </xdr:from>
    <xdr:to>
      <xdr:col>14</xdr:col>
      <xdr:colOff>740842</xdr:colOff>
      <xdr:row>8</xdr:row>
      <xdr:rowOff>270884</xdr:rowOff>
    </xdr:to>
    <mc:AlternateContent xmlns:mc="http://schemas.openxmlformats.org/markup-compatibility/2006" xmlns:sle15="http://schemas.microsoft.com/office/drawing/2012/slicer">
      <mc:Choice Requires="sle15">
        <xdr:graphicFrame macro="">
          <xdr:nvGraphicFramePr>
            <xdr:cNvPr id="10" name="slDashStatus">
              <a:extLst>
                <a:ext uri="{FF2B5EF4-FFF2-40B4-BE49-F238E27FC236}">
                  <a16:creationId xmlns:a16="http://schemas.microsoft.com/office/drawing/2014/main" id="{E1957CFA-B987-48B2-F1F4-B7F09A645CC8}"/>
                </a:ext>
              </a:extLst>
            </xdr:cNvPr>
            <xdr:cNvGraphicFramePr/>
          </xdr:nvGraphicFramePr>
          <xdr:xfrm>
            <a:off x="0" y="0"/>
            <a:ext cx="0" cy="0"/>
          </xdr:xfrm>
          <a:graphic>
            <a:graphicData uri="http://schemas.microsoft.com/office/drawing/2010/slicer">
              <sle:slicer xmlns:sle="http://schemas.microsoft.com/office/drawing/2010/slicer" name="slDashStatus"/>
            </a:graphicData>
          </a:graphic>
        </xdr:graphicFrame>
      </mc:Choice>
      <mc:Fallback xmlns="">
        <xdr:sp macro="" textlink="">
          <xdr:nvSpPr>
            <xdr:cNvPr id="0" name=""/>
            <xdr:cNvSpPr>
              <a:spLocks noTextEdit="1"/>
            </xdr:cNvSpPr>
          </xdr:nvSpPr>
          <xdr:spPr>
            <a:xfrm>
              <a:off x="9075420" y="1089660"/>
              <a:ext cx="2342387" cy="127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6724</xdr:colOff>
      <xdr:row>5</xdr:row>
      <xdr:rowOff>896</xdr:rowOff>
    </xdr:from>
    <xdr:to>
      <xdr:col>7</xdr:col>
      <xdr:colOff>47441</xdr:colOff>
      <xdr:row>10</xdr:row>
      <xdr:rowOff>87555</xdr:rowOff>
    </xdr:to>
    <mc:AlternateContent xmlns:mc="http://schemas.openxmlformats.org/markup-compatibility/2006" xmlns:sle15="http://schemas.microsoft.com/office/drawing/2012/slicer">
      <mc:Choice Requires="sle15">
        <xdr:graphicFrame macro="">
          <xdr:nvGraphicFramePr>
            <xdr:cNvPr id="2" name="slBoardProject">
              <a:extLst>
                <a:ext uri="{FF2B5EF4-FFF2-40B4-BE49-F238E27FC236}">
                  <a16:creationId xmlns:a16="http://schemas.microsoft.com/office/drawing/2014/main" id="{FFC99DF4-F3AF-931B-4B6F-263F945B2D13}"/>
                </a:ext>
              </a:extLst>
            </xdr:cNvPr>
            <xdr:cNvGraphicFramePr/>
          </xdr:nvGraphicFramePr>
          <xdr:xfrm>
            <a:off x="0" y="0"/>
            <a:ext cx="0" cy="0"/>
          </xdr:xfrm>
          <a:graphic>
            <a:graphicData uri="http://schemas.microsoft.com/office/drawing/2010/slicer">
              <sle:slicer xmlns:sle="http://schemas.microsoft.com/office/drawing/2010/slicer" name="slBoardProject"/>
            </a:graphicData>
          </a:graphic>
        </xdr:graphicFrame>
      </mc:Choice>
      <mc:Fallback xmlns="">
        <xdr:sp macro="" textlink="">
          <xdr:nvSpPr>
            <xdr:cNvPr id="0" name=""/>
            <xdr:cNvSpPr>
              <a:spLocks noTextEdit="1"/>
            </xdr:cNvSpPr>
          </xdr:nvSpPr>
          <xdr:spPr>
            <a:xfrm>
              <a:off x="2705100" y="1112520"/>
              <a:ext cx="2335682" cy="127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12102</xdr:colOff>
      <xdr:row>5</xdr:row>
      <xdr:rowOff>896</xdr:rowOff>
    </xdr:from>
    <xdr:to>
      <xdr:col>13</xdr:col>
      <xdr:colOff>58198</xdr:colOff>
      <xdr:row>10</xdr:row>
      <xdr:rowOff>87555</xdr:rowOff>
    </xdr:to>
    <mc:AlternateContent xmlns:mc="http://schemas.openxmlformats.org/markup-compatibility/2006" xmlns:sle15="http://schemas.microsoft.com/office/drawing/2012/slicer">
      <mc:Choice Requires="sle15">
        <xdr:graphicFrame macro="">
          <xdr:nvGraphicFramePr>
            <xdr:cNvPr id="3" name="slBoardOwner">
              <a:extLst>
                <a:ext uri="{FF2B5EF4-FFF2-40B4-BE49-F238E27FC236}">
                  <a16:creationId xmlns:a16="http://schemas.microsoft.com/office/drawing/2014/main" id="{510A0F33-DF40-7F23-A1CA-1D4EA1541D02}"/>
                </a:ext>
              </a:extLst>
            </xdr:cNvPr>
            <xdr:cNvGraphicFramePr/>
          </xdr:nvGraphicFramePr>
          <xdr:xfrm>
            <a:off x="0" y="0"/>
            <a:ext cx="0" cy="0"/>
          </xdr:xfrm>
          <a:graphic>
            <a:graphicData uri="http://schemas.microsoft.com/office/drawing/2010/slicer">
              <sle:slicer xmlns:sle="http://schemas.microsoft.com/office/drawing/2010/slicer" name="slBoardOwner"/>
            </a:graphicData>
          </a:graphic>
        </xdr:graphicFrame>
      </mc:Choice>
      <mc:Fallback xmlns="">
        <xdr:sp macro="" textlink="">
          <xdr:nvSpPr>
            <xdr:cNvPr id="0" name=""/>
            <xdr:cNvSpPr>
              <a:spLocks noTextEdit="1"/>
            </xdr:cNvSpPr>
          </xdr:nvSpPr>
          <xdr:spPr>
            <a:xfrm>
              <a:off x="5113020" y="1112520"/>
              <a:ext cx="4743602" cy="127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22860</xdr:colOff>
      <xdr:row>5</xdr:row>
      <xdr:rowOff>896</xdr:rowOff>
    </xdr:from>
    <xdr:to>
      <xdr:col>15</xdr:col>
      <xdr:colOff>83282</xdr:colOff>
      <xdr:row>10</xdr:row>
      <xdr:rowOff>87555</xdr:rowOff>
    </xdr:to>
    <mc:AlternateContent xmlns:mc="http://schemas.openxmlformats.org/markup-compatibility/2006" xmlns:sle15="http://schemas.microsoft.com/office/drawing/2012/slicer">
      <mc:Choice Requires="sle15">
        <xdr:graphicFrame macro="">
          <xdr:nvGraphicFramePr>
            <xdr:cNvPr id="4" name="slBoardPriority">
              <a:extLst>
                <a:ext uri="{FF2B5EF4-FFF2-40B4-BE49-F238E27FC236}">
                  <a16:creationId xmlns:a16="http://schemas.microsoft.com/office/drawing/2014/main" id="{63A126E7-76E6-919C-CE23-D70118A668CB}"/>
                </a:ext>
              </a:extLst>
            </xdr:cNvPr>
            <xdr:cNvGraphicFramePr/>
          </xdr:nvGraphicFramePr>
          <xdr:xfrm>
            <a:off x="0" y="0"/>
            <a:ext cx="0" cy="0"/>
          </xdr:xfrm>
          <a:graphic>
            <a:graphicData uri="http://schemas.microsoft.com/office/drawing/2010/slicer">
              <sle:slicer xmlns:sle="http://schemas.microsoft.com/office/drawing/2010/slicer" name="slBoardPriority"/>
            </a:graphicData>
          </a:graphic>
        </xdr:graphicFrame>
      </mc:Choice>
      <mc:Fallback xmlns="">
        <xdr:sp macro="" textlink="">
          <xdr:nvSpPr>
            <xdr:cNvPr id="0" name=""/>
            <xdr:cNvSpPr>
              <a:spLocks noTextEdit="1"/>
            </xdr:cNvSpPr>
          </xdr:nvSpPr>
          <xdr:spPr>
            <a:xfrm>
              <a:off x="9928860" y="1112520"/>
              <a:ext cx="2167128" cy="127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13</xdr:col>
      <xdr:colOff>50800</xdr:colOff>
      <xdr:row>5</xdr:row>
      <xdr:rowOff>50800</xdr:rowOff>
    </xdr:from>
    <xdr:to>
      <xdr:col>20</xdr:col>
      <xdr:colOff>688340</xdr:colOff>
      <xdr:row>21</xdr:row>
      <xdr:rowOff>223520</xdr:rowOff>
    </xdr:to>
    <xdr:graphicFrame macro="">
      <xdr:nvGraphicFramePr>
        <xdr:cNvPr id="2" name="Chart 1">
          <a:extLst>
            <a:ext uri="{FF2B5EF4-FFF2-40B4-BE49-F238E27FC236}">
              <a16:creationId xmlns:a16="http://schemas.microsoft.com/office/drawing/2014/main" id="{B9D68B8F-C073-E9E3-ED47-8956B9411B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6</v>
    <v>8</v>
    <v>0</v>
    <v>1</v>
  </rv>
  <rv s="0">
    <v>6</v>
    <v>8</v>
    <v>9</v>
    <v>1</v>
  </rv>
  <rv s="0">
    <v>0</v>
    <v>8</v>
    <v>6</v>
    <v>1</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 xr10:uid="{FB44EA9B-ED78-41B3-AC00-39BA83C480FA}" sourceName="Project">
  <extLst>
    <x:ext xmlns:x15="http://schemas.microsoft.com/office/spreadsheetml/2010/11/main" uri="{2F2917AC-EB37-4324-AD4E-5DD8C200BD13}">
      <x15:tableSlicerCache tableId="6"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 xr10:uid="{5C192439-09A3-4EA5-9A60-051F6AACBB17}" sourceName="Owner">
  <extLst>
    <x:ext xmlns:x15="http://schemas.microsoft.com/office/spreadsheetml/2010/11/main" uri="{2F2917AC-EB37-4324-AD4E-5DD8C200BD13}">
      <x15:tableSlicerCache tableId="6"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BA267438-7793-46C0-ABDE-96EFD8044B9F}" sourceName="Priority">
  <extLst>
    <x:ext xmlns:x15="http://schemas.microsoft.com/office/spreadsheetml/2010/11/main" uri="{2F2917AC-EB37-4324-AD4E-5DD8C200BD13}">
      <x15:tableSlicerCache tableId="6" column="6"/>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6BC13AE-3BDB-4FBF-A040-2B90E9483088}" sourceName="Status">
  <extLst>
    <x:ext xmlns:x15="http://schemas.microsoft.com/office/spreadsheetml/2010/11/main" uri="{2F2917AC-EB37-4324-AD4E-5DD8C200BD13}">
      <x15:tableSlicerCache tableId="6"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DashProject" xr10:uid="{749BBC24-F594-44CF-AD0D-81D8A0692E82}" cache="Slicer_Project" caption="Project" columnCount="2" style="TeamBoard Slicer" rowHeight="254000"/>
  <slicer name="slDashOwner" xr10:uid="{86F15196-512E-4A15-9A9B-743489761AD7}" cache="Slicer_Owner" caption="Owner" columnCount="4" style="TeamBoard Slicer" rowHeight="254000"/>
  <slicer name="slDashPriority" xr10:uid="{DE2A593B-87D5-4DB0-8BCD-19696E52EE44}" cache="Slicer_Priority" caption="Priority" columnCount="2" style="TeamBoard Slicer" rowHeight="254000"/>
  <slicer name="slDashStatus" xr10:uid="{661F71FF-3C7A-4BB0-AAD2-5A57E481205B}" cache="Slicer_Status" caption="Status" columnCount="2" style="TeamBoard Slicer" rowHeight="25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BoardProject" xr10:uid="{B6F08E1E-9DA0-4EAA-B9B7-7E1736309C91}" cache="Slicer_Project" caption="Project" columnCount="2" style="TeamBoard Slicer" rowHeight="254000"/>
  <slicer name="slBoardOwner" xr10:uid="{40501CD2-4BDC-4608-966D-361AF4EB45CC}" cache="Slicer_Owner" caption="Owner" columnCount="4" style="TeamBoard Slicer" rowHeight="254000"/>
  <slicer name="slBoardPriority" xr10:uid="{AD91466B-6096-4EC4-B897-318A2B8264BB}" cache="Slicer_Priority" caption="Priority" columnCount="2" style="TeamBoard Slicer" rowHeight="25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B65655E-9B40-4458-8CB1-7AD9260F9A40}" name="tblChat" displayName="tblChat" ref="H12:K20" totalsRowShown="0">
  <autoFilter ref="H12:K20" xr:uid="{6B65655E-9B40-4458-8CB1-7AD9260F9A40}"/>
  <tableColumns count="4">
    <tableColumn id="1" xr3:uid="{CD627D15-DBDF-4433-B48A-A2C6CEEE1D04}" name="When" dataDxfId="115"/>
    <tableColumn id="2" xr3:uid="{91DD0652-E32C-4E56-B903-5858E0059B1B}" name="Who" dataDxfId="114"/>
    <tableColumn id="3" xr3:uid="{CC67CE97-88E2-4A96-9589-072C0E718EF6}" name="Message" dataDxfId="113"/>
    <tableColumn id="4" xr3:uid="{4F62C2D6-0423-4BDA-90B6-B9E448A45E8D}" name="About" dataDxfId="112"/>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1D2C42-FB73-42AC-BCCF-176B662DE0DC}" name="tblProjects" displayName="tblProjects" ref="B5:O12" totalsRowShown="0">
  <autoFilter ref="B5:O12" xr:uid="{F51D2C42-FB73-42AC-BCCF-176B662DE0DC}"/>
  <tableColumns count="14">
    <tableColumn id="1" xr3:uid="{9E1DF39D-7649-4774-B994-478C57F28F4C}" name="Project" dataDxfId="90"/>
    <tableColumn id="2" xr3:uid="{E7E33E3B-B83B-44F9-BDA5-02B27AC24F9B}" name="Code" dataDxfId="89"/>
    <tableColumn id="3" xr3:uid="{5CD82501-A47E-4D9F-8B19-F8FE792BD035}" name="Owner" dataDxfId="88"/>
    <tableColumn id="4" xr3:uid="{F18768F5-C701-4906-BFB2-93898A882672}" name="Start Date" dataDxfId="87"/>
    <tableColumn id="5" xr3:uid="{811B6186-FB37-4745-872E-9C42199D49BA}" name="Target Date" dataDxfId="86"/>
    <tableColumn id="6" xr3:uid="{CCF2F8CE-7CF8-4C50-BBA6-EAADFCB61760}" name="Description" dataDxfId="85"/>
    <tableColumn id="7" xr3:uid="{D705E589-24F4-4B8E-9EE5-8E77E37004F2}" name="Added By" dataDxfId="84"/>
    <tableColumn id="8" xr3:uid="{72B304E1-FD5B-412D-A135-9B49BEE506C0}" name="Added On" dataDxfId="83"/>
    <tableColumn id="9" xr3:uid="{E050E088-1DC3-49BE-8BF0-DD7591CA4098}" name="Tasks" dataDxfId="82">
      <calculatedColumnFormula>COUNTIFS(tblTasks[Project],tblProjects[[#This Row],[Project]])</calculatedColumnFormula>
    </tableColumn>
    <tableColumn id="10" xr3:uid="{933D9E3F-5E71-45EE-8FFE-3E87B9EB2948}" name="Done" dataDxfId="81">
      <calculatedColumnFormula array="1">COUNTIFS(tblTasks[Project],tblProjects[[#This Row],[Project]],tblTasks[Status],DoneStatus)</calculatedColumnFormula>
    </tableColumn>
    <tableColumn id="11" xr3:uid="{65E26BF0-698F-42DF-BBC4-D5A8444A36D4}" name="Progress" dataDxfId="80">
      <calculatedColumnFormula>IF(tblProjects[[#This Row],[Tasks]]=0,0,tblProjects[[#This Row],[Done]]/tblProjects[[#This Row],[Tasks]])</calculatedColumnFormula>
    </tableColumn>
    <tableColumn id="12" xr3:uid="{2E2E71B5-6429-4E20-8E7F-E6BF5FF4FC06}" name="Overdue" dataDxfId="79">
      <calculatedColumnFormula>COUNTIFS(tblTasks[Project],tblProjects[[#This Row],[Project]],tblTasks[State],"Overdue")</calculatedColumnFormula>
    </tableColumn>
    <tableColumn id="13" xr3:uid="{2A546B86-D08D-4BA5-8CC0-FF5F58E97BA0}" name="Days Left" dataDxfId="78">
      <calculatedColumnFormula>IF(tblProjects[[#This Row],[Target Date]]="","",tblProjects[[#This Row],[Target Date]]-TODAY())</calculatedColumnFormula>
    </tableColumn>
    <tableColumn id="14" xr3:uid="{61A7EA29-0A86-47B9-8614-8A6878DA5A76}" name="Health" dataDxfId="77">
      <calculatedColumnFormula>IF(tblProjects[[#This Row],[Project]]="","",IF(AND(tblProjects[[#This Row],[Tasks]]&gt;0,tblProjects[[#This Row],[Done]]=tblProjects[[#This Row],[Tasks]]),"🏁 Complete",_xlfn.LET(_xlpm.expected,IF(OR(tblProjects[[#This Row],[Start Date]]="",tblProjects[[#This Row],[Target Date]]="",N(tblProjects[[#This Row],[Target Date]])&lt;=N(tblProjects[[#This Row],[Start Date]])),0,MIN(1,MAX(0,(TODAY()-tblProjects[[#This Row],[Start Date]])/(tblProjects[[#This Row],[Target Date]]-tblProjects[[#This Row],[Start Date]])))),IF(OR(tblProjects[[#This Row],[Overdue]]&gt;=3,AND(ISNUMBER(tblProjects[[#This Row],[Days Left]]),N(tblProjects[[#This Row],[Days Left]])&lt;0)),"⛔ Off Track",IF(OR(tblProjects[[#This Row],[Overdue]]&gt;=1,tblProjects[[#This Row],[Progress]]&lt;_xlpm.expected-0.25),"⚠ At Risk","✅ On Track")))))</calculatedColumnFormula>
    </tableColumn>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F659F88-3BCD-4789-97D7-A0A1556DEB6A}" name="tblTasks" displayName="tblTasks" ref="B6:V47" totalsRowShown="0">
  <autoFilter ref="B6:V47" xr:uid="{4F659F88-3BCD-4789-97D7-A0A1556DEB6A}"/>
  <tableColumns count="21">
    <tableColumn id="1" xr3:uid="{880D3130-2C65-4259-99B1-819124F9FA39}" name="ID" dataDxfId="111">
      <calculatedColumnFormula>"T-"&amp;TEXT(ROW()-ROW(tblTasks[[#Headers],[ID]]),"000")</calculatedColumnFormula>
    </tableColumn>
    <tableColumn id="2" xr3:uid="{B7C80471-8E63-4A86-9E55-A914D50984A8}" name="Task" dataDxfId="110"/>
    <tableColumn id="3" xr3:uid="{4C21BC7D-4826-43AE-950F-DDBBE6F48655}" name="Project" dataDxfId="109"/>
    <tableColumn id="4" xr3:uid="{8766DBB3-FA51-4FF4-814A-C22260BF048B}" name="Owner" dataDxfId="108"/>
    <tableColumn id="5" xr3:uid="{9A409333-3B5D-44B6-BCA8-CE1DFF3ADD43}" name="Status" dataDxfId="107"/>
    <tableColumn id="6" xr3:uid="{CE00C957-964E-45D5-BAB3-E40823A8484D}" name="Priority" dataDxfId="106"/>
    <tableColumn id="7" xr3:uid="{AE6898DE-5AC2-4A6D-85AE-3BA6581D0BB4}" name="Start Date" dataDxfId="105"/>
    <tableColumn id="8" xr3:uid="{A082D059-97B2-4896-B6EA-1749D7997309}" name="Due Date" dataDxfId="104"/>
    <tableColumn id="9" xr3:uid="{AD99ADAC-BE68-4D94-BF24-EC2FA7AD9297}" name="Progress" dataDxfId="103"/>
    <tableColumn id="10" xr3:uid="{7F0D610F-575F-486F-9AA0-F10EE211980D}" name="Tags" dataDxfId="102"/>
    <tableColumn id="11" xr3:uid="{D6F121E8-85DC-49FA-B4CC-434252C51641}" name="Notes" dataDxfId="101"/>
    <tableColumn id="12" xr3:uid="{88315CA8-BD47-4B52-BD6D-A2B39C56E31D}" name="Added By" dataDxfId="100"/>
    <tableColumn id="13" xr3:uid="{2A6F3473-3DA6-4C66-B6CD-9B2989C7C463}" name="Added On" dataDxfId="99"/>
    <tableColumn id="14" xr3:uid="{7891BD1D-9EA4-4578-81DF-89CE638A0E27}" name="Completed On" dataDxfId="98"/>
    <tableColumn id="15" xr3:uid="{4E42A5C0-08A1-4256-8E3C-370273667C01}" name="Days Left" dataDxfId="97">
      <calculatedColumnFormula array="1">IF(OR(tblTasks[[#This Row],[Task]]="",tblTasks[[#This Row],[Due Date]]="",tblTasks[[#This Row],[Status]]=DoneStatus),"",tblTasks[[#This Row],[Due Date]]-TODAY())</calculatedColumnFormula>
    </tableColumn>
    <tableColumn id="16" xr3:uid="{B62F0069-2159-49EE-8C71-CFE09B9A4458}" name="State" dataDxfId="96">
      <calculatedColumnFormula array="1">IF(tblTasks[[#This Row],[Task]]="","",IF(tblTasks[[#This Row],[Status]]=DoneStatus,"Done",IF(tblTasks[[#This Row],[Due Date]]="","No date",IF(tblTasks[[#This Row],[Due Date]]&lt;TODAY(),"Overdue",IF(tblTasks[[#This Row],[Due Date]]-TODAY()&lt;=7,"Due soon","On track")))))</calculatedColumnFormula>
    </tableColumn>
    <tableColumn id="17" xr3:uid="{AD82C5A2-3EC0-41BC-913C-26CD4A363E29}" name="On Time" dataDxfId="95">
      <calculatedColumnFormula array="1">IF(OR(tblTasks[[#This Row],[Status]]&lt;&gt;DoneStatus,tblTasks[[#This Row],[Completed On]]="",tblTasks[[#This Row],[Due Date]]=""),"",IF(tblTasks[[#This Row],[Completed On]]&lt;=tblTasks[[#This Row],[Due Date]],1,0))</calculatedColumnFormula>
    </tableColumn>
    <tableColumn id="18" xr3:uid="{79A4A8D1-2F32-4BB9-B9C4-54F2182C2B21}" name="Card" dataDxfId="94">
      <calculatedColumnFormula array="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calculatedColumnFormula>
    </tableColumn>
    <tableColumn id="19" xr3:uid="{21FEED03-55C4-4C26-8AFB-E2699815F377}" name="SortKey" dataDxfId="93">
      <calculatedColumnFormula>IFERROR(MATCH(tblTasks[[#This Row],[Priority]],lstPriority,0),9)*100000+IF(tblTasks[[#This Row],[Due Date]]="",99999,tblTasks[[#This Row],[Due Date]]-DATE(2000,1,1))</calculatedColumnFormula>
    </tableColumn>
    <tableColumn id="20" xr3:uid="{CEAA87B6-FF81-4D01-8B6D-8432E2FE8743}" name="DueKey" dataDxfId="92">
      <calculatedColumnFormula>IF(tblTasks[[#This Row],[Due Date]]="",99999999,tblTasks[[#This Row],[Due Date]])</calculatedColumnFormula>
    </tableColumn>
    <tableColumn id="21" xr3:uid="{93094A94-8B9C-4C71-B1B2-5C1FC5D74435}" name="Visible" dataDxfId="91">
      <calculatedColumnFormula>SUBTOTAL(103,tblTasks[[#This Row],[Task]])</calculatedColumnFormula>
    </tableColumn>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47C100-8574-4960-97C1-2AC4CBAA2C9D}" name="tblTeam" displayName="tblTeam" ref="B5:I15" totalsRowShown="0">
  <autoFilter ref="B5:I15" xr:uid="{C547C100-8574-4960-97C1-2AC4CBAA2C9D}"/>
  <tableColumns count="8">
    <tableColumn id="1" xr3:uid="{57D61576-023E-4E76-81D4-F73B124E82DE}" name="Name" dataDxfId="123"/>
    <tableColumn id="2" xr3:uid="{002CAD51-4AF4-41FC-BE4D-E8FB40EA4775}" name="Email" dataDxfId="122"/>
    <tableColumn id="3" xr3:uid="{587DFEE9-CBE5-4613-B95A-FF82B742A085}" name="Role" dataDxfId="121"/>
    <tableColumn id="4" xr3:uid="{B32E71DF-B922-4D06-8621-707D10715DDD}" name="Department" dataDxfId="120"/>
    <tableColumn id="5" xr3:uid="{7CE6DE93-213D-45C3-B2E5-37ADAFB8835D}" name="Capacity" dataDxfId="119"/>
    <tableColumn id="6" xr3:uid="{500AC36D-CFC5-4088-891F-5E3582B69164}" name="Open Tasks" dataDxfId="118">
      <calculatedColumnFormula array="1">COUNTIFS(tblTasks[Owner],tblTeam[[#This Row],[Name]],tblTasks[Status],"&lt;&gt;"&amp;DoneStatus)</calculatedColumnFormula>
    </tableColumn>
    <tableColumn id="7" xr3:uid="{3FCCF6E9-FF1F-41C3-BAA6-DEEA0D316CF5}" name="Overdue" dataDxfId="117">
      <calculatedColumnFormula>COUNTIFS(tblTasks[Owner],tblTeam[[#This Row],[Name]],tblTasks[State],"Overdue")</calculatedColumnFormula>
    </tableColumn>
    <tableColumn id="8" xr3:uid="{D6C86735-28D7-4114-98F1-146612D3757B}" name="Load" dataDxfId="116">
      <calculatedColumnFormula>IF(N(tblTeam[[#This Row],[Capacity]])=0,"",tblTeam[[#This Row],[Open Tasks]]/tblTeam[[#This Row],[Capacity]])</calculatedColumnFormula>
    </tableColumn>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4EFD77-CB4D-41D5-BF9F-8ADE5C9101D9}" name="tblStatus" displayName="tblStatus" ref="B6:C13" totalsRowShown="0">
  <autoFilter ref="B6:C13" xr:uid="{6D4EFD77-CB4D-41D5-BF9F-8ADE5C9101D9}"/>
  <tableColumns count="2">
    <tableColumn id="1" xr3:uid="{B318C1AD-A2A4-4E17-B794-9DA9C2841DEA}" name="Status" dataDxfId="76"/>
    <tableColumn id="2" xr3:uid="{F33B53B1-2469-4500-A349-3EB84D463ECD}" name="Meaning" dataDxfId="75"/>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2E9BF8-7774-413D-A028-AF954836F8E9}" name="tblPriority" displayName="tblPriority" ref="E6:F11" totalsRowShown="0">
  <autoFilter ref="E6:F11" xr:uid="{8D2E9BF8-7774-413D-A028-AF954836F8E9}"/>
  <tableColumns count="2">
    <tableColumn id="1" xr3:uid="{028987DD-5A46-4609-8F7B-CB60CC088731}" name="Priority" dataDxfId="74"/>
    <tableColumn id="2" xr3:uid="{A9307C2C-5765-4A0C-AD37-8AFFD9B093D4}" name="Meaning" dataDxfId="73"/>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C843A9-D02B-480C-ACC9-661B768B4B0F}" name="tblMonths" displayName="tblMonths" ref="B17:B29" totalsRowShown="0">
  <autoFilter ref="B17:B29" xr:uid="{A5C843A9-D02B-480C-ACC9-661B768B4B0F}"/>
  <tableColumns count="1">
    <tableColumn id="1" xr3:uid="{9B9FA788-6CB4-4AF8-8E2E-A405AA56E09D}" name="Month" dataDxfId="72"/>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11.bin"/><Relationship Id="rId4"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55C32-7A37-4971-B590-6514B62BABB0}">
  <sheetPr>
    <tabColor rgb="FF1E2134"/>
    <pageSetUpPr fitToPage="1"/>
  </sheetPr>
  <dimension ref="A1:AZ300"/>
  <sheetViews>
    <sheetView showGridLines="0" showRowColHeaders="0" tabSelected="1" zoomScale="90" zoomScaleNormal="90" workbookViewId="0">
      <selection activeCell="K19" sqref="K19:M19"/>
    </sheetView>
  </sheetViews>
  <sheetFormatPr defaultRowHeight="15" x14ac:dyDescent="0.35"/>
  <cols>
    <col min="1" max="1" width="3.77734375" customWidth="1"/>
    <col min="2" max="13" width="11.77734375" customWidth="1"/>
    <col min="14" max="14" width="3.77734375" customWidth="1"/>
  </cols>
  <sheetData>
    <row r="1" spans="1:52" ht="13.95" customHeight="1" x14ac:dyDescent="0.35">
      <c r="A1" s="1"/>
      <c r="B1" s="1"/>
      <c r="C1" s="1"/>
      <c r="D1" s="1"/>
      <c r="E1" s="1"/>
      <c r="F1" s="1"/>
      <c r="G1" s="1"/>
      <c r="H1" s="1"/>
      <c r="I1" s="1"/>
      <c r="J1" s="1"/>
      <c r="K1" s="1"/>
      <c r="L1" s="1"/>
      <c r="M1" s="1"/>
      <c r="N1" s="1"/>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row>
    <row r="2" spans="1:52" ht="43.95" customHeight="1" x14ac:dyDescent="0.35">
      <c r="A2" s="1"/>
      <c r="B2" s="160" t="s">
        <v>309</v>
      </c>
      <c r="C2" s="1"/>
      <c r="D2" s="1"/>
      <c r="E2" s="1"/>
      <c r="F2" s="1"/>
      <c r="G2" s="1"/>
      <c r="H2" s="1"/>
      <c r="I2" s="1"/>
      <c r="J2" s="1"/>
      <c r="K2" s="1"/>
      <c r="L2" s="1"/>
      <c r="M2" s="1"/>
      <c r="N2" s="1"/>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row>
    <row r="3" spans="1:52" ht="22.05" customHeight="1" x14ac:dyDescent="0.45">
      <c r="A3" s="1"/>
      <c r="B3" s="161" t="s">
        <v>310</v>
      </c>
      <c r="C3" s="1"/>
      <c r="D3" s="1"/>
      <c r="E3" s="1"/>
      <c r="F3" s="1"/>
      <c r="G3" s="1"/>
      <c r="H3" s="1"/>
      <c r="I3" s="1"/>
      <c r="J3" s="1"/>
      <c r="K3" s="1"/>
      <c r="L3" s="1"/>
      <c r="M3" s="1"/>
      <c r="N3" s="1"/>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row>
    <row r="4" spans="1:52" ht="22.05" customHeight="1" x14ac:dyDescent="0.35">
      <c r="A4" s="1"/>
      <c r="B4" s="172" t="str">
        <f ca="1">TEXT(TODAY(),"dddd, d mmmm yyyy")&amp;"     ·     "&amp;COUNTA(tblTasks[Task])&amp;" tasks     ·     "&amp;COUNTA(tblProjects[Project])&amp;" projects     ·     "&amp;COUNTA(tblTeam[Name])&amp;" teammates     ·     "&amp;COUNTIFS(tblTasks[State],"Overdue")&amp;" overdue"</f>
        <v>Saturday, 17 October 2026     ·     41 tasks     ·     7 projects     ·     10 teammates     ·     13 overdue</v>
      </c>
      <c r="C4" s="172"/>
      <c r="D4" s="172"/>
      <c r="E4" s="172"/>
      <c r="F4" s="172"/>
      <c r="G4" s="172"/>
      <c r="H4" s="172"/>
      <c r="I4" s="172"/>
      <c r="J4" s="172"/>
      <c r="K4" s="172"/>
      <c r="L4" s="172"/>
      <c r="M4" s="172"/>
      <c r="N4" s="1"/>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row>
    <row r="5" spans="1:52" ht="13.95" customHeight="1" x14ac:dyDescent="0.35">
      <c r="A5" s="1"/>
      <c r="B5" s="1"/>
      <c r="C5" s="1"/>
      <c r="D5" s="1"/>
      <c r="E5" s="1"/>
      <c r="F5" s="1"/>
      <c r="G5" s="1"/>
      <c r="H5" s="1"/>
      <c r="I5" s="1"/>
      <c r="J5" s="1"/>
      <c r="K5" s="1"/>
      <c r="L5" s="1"/>
      <c r="M5" s="1"/>
      <c r="N5" s="1"/>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row>
    <row r="6" spans="1:52" ht="13.95" customHeight="1" x14ac:dyDescent="0.35">
      <c r="A6" s="1"/>
      <c r="B6" s="1"/>
      <c r="C6" s="1"/>
      <c r="D6" s="1"/>
      <c r="E6" s="1"/>
      <c r="F6" s="1"/>
      <c r="G6" s="1"/>
      <c r="H6" s="1"/>
      <c r="I6" s="1"/>
      <c r="J6" s="1"/>
      <c r="K6" s="1"/>
      <c r="L6" s="1"/>
      <c r="M6" s="1"/>
      <c r="N6" s="1"/>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row>
    <row r="7" spans="1:52" x14ac:dyDescent="0.35">
      <c r="A7" s="34"/>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row>
    <row r="8" spans="1:52" ht="28.05" customHeight="1" thickBot="1" x14ac:dyDescent="0.5">
      <c r="A8" s="34"/>
      <c r="B8" s="46" t="s">
        <v>311</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row>
    <row r="9" spans="1:52" ht="40.049999999999997" customHeight="1" thickTop="1" x14ac:dyDescent="0.55000000000000004">
      <c r="A9" s="34"/>
      <c r="B9" s="173" t="s">
        <v>312</v>
      </c>
      <c r="C9" s="174"/>
      <c r="D9" s="174"/>
      <c r="E9" s="177" t="s">
        <v>314</v>
      </c>
      <c r="F9" s="178"/>
      <c r="G9" s="178"/>
      <c r="H9" s="181" t="s">
        <v>316</v>
      </c>
      <c r="I9" s="182"/>
      <c r="J9" s="182"/>
      <c r="K9" s="185" t="s">
        <v>318</v>
      </c>
      <c r="L9" s="186"/>
      <c r="M9" s="187"/>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row>
    <row r="10" spans="1:52" ht="25.95" customHeight="1" thickBot="1" x14ac:dyDescent="0.4">
      <c r="A10" s="34"/>
      <c r="B10" s="175" t="s">
        <v>313</v>
      </c>
      <c r="C10" s="176"/>
      <c r="D10" s="176"/>
      <c r="E10" s="179" t="s">
        <v>315</v>
      </c>
      <c r="F10" s="180"/>
      <c r="G10" s="180"/>
      <c r="H10" s="183" t="s">
        <v>317</v>
      </c>
      <c r="I10" s="184"/>
      <c r="J10" s="184"/>
      <c r="K10" s="188" t="s">
        <v>319</v>
      </c>
      <c r="L10" s="189"/>
      <c r="M10" s="190"/>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row>
    <row r="11" spans="1:52" ht="10.050000000000001" customHeight="1" thickTop="1" x14ac:dyDescent="0.3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row>
    <row r="12" spans="1:52" ht="15.6" thickBot="1" x14ac:dyDescent="0.4">
      <c r="A12" s="34"/>
      <c r="B12" s="34"/>
      <c r="C12" s="34"/>
      <c r="D12" s="34"/>
      <c r="E12" s="34"/>
      <c r="F12" s="34"/>
      <c r="G12" s="34"/>
      <c r="H12" s="34"/>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row>
    <row r="13" spans="1:52" ht="40.049999999999997" customHeight="1" thickTop="1" x14ac:dyDescent="0.55000000000000004">
      <c r="A13" s="34"/>
      <c r="B13" s="203" t="s">
        <v>320</v>
      </c>
      <c r="C13" s="204"/>
      <c r="D13" s="204"/>
      <c r="E13" s="207" t="s">
        <v>322</v>
      </c>
      <c r="F13" s="208"/>
      <c r="G13" s="208"/>
      <c r="H13" s="211" t="s">
        <v>324</v>
      </c>
      <c r="I13" s="212"/>
      <c r="J13" s="212"/>
      <c r="K13" s="191" t="s">
        <v>326</v>
      </c>
      <c r="L13" s="192"/>
      <c r="M13" s="193"/>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row>
    <row r="14" spans="1:52" ht="25.95" customHeight="1" thickBot="1" x14ac:dyDescent="0.4">
      <c r="A14" s="34"/>
      <c r="B14" s="205" t="s">
        <v>321</v>
      </c>
      <c r="C14" s="206"/>
      <c r="D14" s="206"/>
      <c r="E14" s="209" t="s">
        <v>323</v>
      </c>
      <c r="F14" s="210"/>
      <c r="G14" s="210"/>
      <c r="H14" s="213" t="s">
        <v>325</v>
      </c>
      <c r="I14" s="214"/>
      <c r="J14" s="214"/>
      <c r="K14" s="194" t="s">
        <v>327</v>
      </c>
      <c r="L14" s="195"/>
      <c r="M14" s="196"/>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row>
    <row r="15" spans="1:52" ht="10.050000000000001" customHeight="1" thickTop="1" x14ac:dyDescent="0.3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row>
    <row r="16" spans="1:52" x14ac:dyDescent="0.35">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row>
    <row r="17" spans="1:52" x14ac:dyDescent="0.35">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row>
    <row r="18" spans="1:52" ht="28.05" customHeight="1" x14ac:dyDescent="0.45">
      <c r="A18" s="34"/>
      <c r="B18" s="46" t="s">
        <v>328</v>
      </c>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row>
    <row r="19" spans="1:52" ht="25.95" customHeight="1" x14ac:dyDescent="0.4">
      <c r="A19" s="34"/>
      <c r="B19" s="197" t="s">
        <v>329</v>
      </c>
      <c r="C19" s="198"/>
      <c r="D19" s="198"/>
      <c r="E19" s="197" t="s">
        <v>331</v>
      </c>
      <c r="F19" s="198"/>
      <c r="G19" s="198"/>
      <c r="H19" s="197" t="s">
        <v>333</v>
      </c>
      <c r="I19" s="198"/>
      <c r="J19" s="198"/>
      <c r="K19" s="197" t="s">
        <v>335</v>
      </c>
      <c r="L19" s="198"/>
      <c r="M19" s="201"/>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row>
    <row r="20" spans="1:52" ht="34.049999999999997" customHeight="1" x14ac:dyDescent="0.35">
      <c r="A20" s="34"/>
      <c r="B20" s="199" t="s">
        <v>330</v>
      </c>
      <c r="C20" s="200"/>
      <c r="D20" s="200"/>
      <c r="E20" s="199" t="s">
        <v>332</v>
      </c>
      <c r="F20" s="200"/>
      <c r="G20" s="200"/>
      <c r="H20" s="199" t="s">
        <v>334</v>
      </c>
      <c r="I20" s="200"/>
      <c r="J20" s="200"/>
      <c r="K20" s="199" t="s">
        <v>336</v>
      </c>
      <c r="L20" s="200"/>
      <c r="M20" s="202"/>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row>
    <row r="21" spans="1:52" x14ac:dyDescent="0.35">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row>
    <row r="22" spans="1:52" ht="28.05" customHeight="1" x14ac:dyDescent="0.45">
      <c r="A22" s="34"/>
      <c r="B22" s="46" t="s">
        <v>337</v>
      </c>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row>
    <row r="23" spans="1:52" ht="22.05" customHeight="1" x14ac:dyDescent="0.35">
      <c r="A23" s="34"/>
      <c r="B23" s="162" t="s">
        <v>338</v>
      </c>
      <c r="C23" s="215" t="s">
        <v>339</v>
      </c>
      <c r="D23" s="215"/>
      <c r="E23" s="215"/>
      <c r="F23" s="215"/>
      <c r="G23" s="215"/>
      <c r="H23" s="215" t="s">
        <v>341</v>
      </c>
      <c r="I23" s="215"/>
      <c r="J23" s="215"/>
      <c r="K23" s="215"/>
      <c r="L23" s="215"/>
      <c r="M23" s="215"/>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row>
    <row r="24" spans="1:52" ht="22.05" customHeight="1" x14ac:dyDescent="0.35">
      <c r="A24" s="34"/>
      <c r="B24" s="163" t="s">
        <v>338</v>
      </c>
      <c r="C24" s="215" t="s">
        <v>340</v>
      </c>
      <c r="D24" s="215"/>
      <c r="E24" s="215"/>
      <c r="F24" s="215"/>
      <c r="G24" s="215"/>
      <c r="H24" s="215" t="s">
        <v>342</v>
      </c>
      <c r="I24" s="215"/>
      <c r="J24" s="215"/>
      <c r="K24" s="215"/>
      <c r="L24" s="215"/>
      <c r="M24" s="215"/>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row>
    <row r="25" spans="1:52" x14ac:dyDescent="0.3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row>
    <row r="26" spans="1:52" ht="30" customHeight="1" x14ac:dyDescent="0.35">
      <c r="A26" s="34"/>
      <c r="B26" s="216" t="s">
        <v>343</v>
      </c>
      <c r="C26" s="216"/>
      <c r="D26" s="216"/>
      <c r="E26" s="216"/>
      <c r="F26" s="216"/>
      <c r="G26" s="216"/>
      <c r="H26" s="216"/>
      <c r="I26" s="216"/>
      <c r="J26" s="216"/>
      <c r="K26" s="216"/>
      <c r="L26" s="216"/>
      <c r="M26" s="216"/>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row>
    <row r="27" spans="1:52" x14ac:dyDescent="0.35">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row>
    <row r="28" spans="1:52" x14ac:dyDescent="0.35">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row>
    <row r="29" spans="1:52" x14ac:dyDescent="0.35">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row>
    <row r="30" spans="1:52" x14ac:dyDescent="0.35">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row>
    <row r="31" spans="1:52" x14ac:dyDescent="0.35">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row>
    <row r="32" spans="1:52" x14ac:dyDescent="0.35">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row>
    <row r="33" spans="1:52" x14ac:dyDescent="0.35">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row>
    <row r="34" spans="1:52" x14ac:dyDescent="0.35">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row>
    <row r="35" spans="1:52" x14ac:dyDescent="0.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row>
    <row r="36" spans="1:52" x14ac:dyDescent="0.35">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row>
    <row r="37" spans="1:52" x14ac:dyDescent="0.35">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row>
    <row r="38" spans="1:52" x14ac:dyDescent="0.35">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row>
    <row r="39" spans="1:52" x14ac:dyDescent="0.35">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row>
    <row r="40" spans="1:52" x14ac:dyDescent="0.35">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row>
    <row r="41" spans="1:52" x14ac:dyDescent="0.35">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row>
    <row r="42" spans="1:52" x14ac:dyDescent="0.35">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row>
    <row r="43" spans="1:52" x14ac:dyDescent="0.35">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row>
    <row r="44" spans="1:52" x14ac:dyDescent="0.35">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row>
    <row r="45" spans="1:52" x14ac:dyDescent="0.3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row>
    <row r="46" spans="1:52" x14ac:dyDescent="0.35">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row>
    <row r="47" spans="1:52" x14ac:dyDescent="0.35">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row>
    <row r="48" spans="1:52" x14ac:dyDescent="0.35">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row>
    <row r="49" spans="1:52" x14ac:dyDescent="0.35">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row>
    <row r="50" spans="1:52" x14ac:dyDescent="0.35">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row>
    <row r="51" spans="1:52" x14ac:dyDescent="0.35">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row>
    <row r="52" spans="1:52" x14ac:dyDescent="0.35">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row>
    <row r="53" spans="1:52" x14ac:dyDescent="0.35">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row>
    <row r="54" spans="1:52" x14ac:dyDescent="0.35">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row>
    <row r="55" spans="1:52" x14ac:dyDescent="0.3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row>
    <row r="56" spans="1:52" x14ac:dyDescent="0.35">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row>
    <row r="57" spans="1:52" x14ac:dyDescent="0.35">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row>
    <row r="58" spans="1:52" x14ac:dyDescent="0.35">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row>
    <row r="59" spans="1:52" x14ac:dyDescent="0.35">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row>
    <row r="60" spans="1:52" x14ac:dyDescent="0.35">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row>
    <row r="61" spans="1:52" x14ac:dyDescent="0.35">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row>
    <row r="62" spans="1:52" x14ac:dyDescent="0.35">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row>
    <row r="63" spans="1:52" x14ac:dyDescent="0.35">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row>
    <row r="64" spans="1:52" x14ac:dyDescent="0.35">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row>
    <row r="65" spans="1:52" x14ac:dyDescent="0.3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row>
    <row r="66" spans="1:52" x14ac:dyDescent="0.35">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row>
    <row r="67" spans="1:52" x14ac:dyDescent="0.35">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row>
    <row r="68" spans="1:52" x14ac:dyDescent="0.35">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row>
    <row r="69" spans="1:52" x14ac:dyDescent="0.35">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row>
    <row r="70" spans="1:52" x14ac:dyDescent="0.35">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row>
    <row r="71" spans="1:52" x14ac:dyDescent="0.35">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row>
    <row r="72" spans="1:52" x14ac:dyDescent="0.35">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row>
    <row r="73" spans="1:52" x14ac:dyDescent="0.35">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row>
    <row r="74" spans="1:52" x14ac:dyDescent="0.35">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row>
    <row r="75" spans="1:52" x14ac:dyDescent="0.3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row>
    <row r="76" spans="1:52" x14ac:dyDescent="0.35">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row>
    <row r="77" spans="1:52" x14ac:dyDescent="0.35">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row>
    <row r="78" spans="1:52" x14ac:dyDescent="0.35">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row>
    <row r="79" spans="1:52" x14ac:dyDescent="0.35">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row>
    <row r="80" spans="1:52" x14ac:dyDescent="0.35">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row>
    <row r="81" spans="1:52" x14ac:dyDescent="0.35">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row>
    <row r="82" spans="1:52" x14ac:dyDescent="0.35">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row>
    <row r="83" spans="1:52" x14ac:dyDescent="0.35">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row>
    <row r="84" spans="1:52" x14ac:dyDescent="0.35">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row>
    <row r="85" spans="1:52" x14ac:dyDescent="0.3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row>
    <row r="86" spans="1:52" x14ac:dyDescent="0.35">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row>
    <row r="87" spans="1:52" x14ac:dyDescent="0.35">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row>
    <row r="88" spans="1:52" x14ac:dyDescent="0.35">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row>
    <row r="89" spans="1:52" x14ac:dyDescent="0.35">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row>
    <row r="90" spans="1:52" x14ac:dyDescent="0.35">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row>
    <row r="91" spans="1:52" x14ac:dyDescent="0.35">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row>
    <row r="92" spans="1:52" x14ac:dyDescent="0.35">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row>
    <row r="93" spans="1:52" x14ac:dyDescent="0.35">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row>
    <row r="94" spans="1:52" x14ac:dyDescent="0.35">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row>
    <row r="95" spans="1:52" x14ac:dyDescent="0.3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row>
    <row r="96" spans="1:52" x14ac:dyDescent="0.35">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row>
    <row r="97" spans="1:52" x14ac:dyDescent="0.35">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row>
    <row r="98" spans="1:52" x14ac:dyDescent="0.35">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row>
    <row r="99" spans="1:52" x14ac:dyDescent="0.35">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row>
    <row r="100" spans="1:52" x14ac:dyDescent="0.35">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row>
    <row r="101" spans="1:52" x14ac:dyDescent="0.35">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row>
    <row r="102" spans="1:52" x14ac:dyDescent="0.35">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row>
    <row r="103" spans="1:52" x14ac:dyDescent="0.35">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row>
    <row r="104" spans="1:52" x14ac:dyDescent="0.35">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row>
    <row r="105" spans="1:52" x14ac:dyDescent="0.3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row>
    <row r="106" spans="1:52" x14ac:dyDescent="0.35">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row>
    <row r="107" spans="1:52" x14ac:dyDescent="0.35">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row>
    <row r="108" spans="1:52" x14ac:dyDescent="0.35">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row>
    <row r="109" spans="1:52" x14ac:dyDescent="0.35">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row>
    <row r="110" spans="1:52" x14ac:dyDescent="0.35">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row>
    <row r="111" spans="1:52" x14ac:dyDescent="0.35">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row>
    <row r="112" spans="1:52" x14ac:dyDescent="0.35">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row>
    <row r="113" spans="1:52" x14ac:dyDescent="0.35">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row>
    <row r="114" spans="1:52" x14ac:dyDescent="0.35">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row>
    <row r="115" spans="1:52" x14ac:dyDescent="0.3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row>
    <row r="116" spans="1:52" x14ac:dyDescent="0.35">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row>
    <row r="117" spans="1:52" x14ac:dyDescent="0.35">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row>
    <row r="118" spans="1:52" x14ac:dyDescent="0.35">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row>
    <row r="119" spans="1:52" x14ac:dyDescent="0.35">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row>
    <row r="120" spans="1:52" x14ac:dyDescent="0.35">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row>
    <row r="121" spans="1:52" x14ac:dyDescent="0.35">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row>
    <row r="122" spans="1:52" x14ac:dyDescent="0.35">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row>
    <row r="123" spans="1:52" x14ac:dyDescent="0.35">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row>
    <row r="124" spans="1:52" x14ac:dyDescent="0.35">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row>
    <row r="125" spans="1:52" x14ac:dyDescent="0.3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row>
    <row r="126" spans="1:52" x14ac:dyDescent="0.35">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row>
    <row r="127" spans="1:52" x14ac:dyDescent="0.35">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row>
    <row r="128" spans="1:52" x14ac:dyDescent="0.35">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row>
    <row r="129" spans="1:52" x14ac:dyDescent="0.35">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row>
    <row r="130" spans="1:52" x14ac:dyDescent="0.35">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row>
    <row r="131" spans="1:52" x14ac:dyDescent="0.35">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row>
    <row r="132" spans="1:52" x14ac:dyDescent="0.35">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row>
    <row r="133" spans="1:52" x14ac:dyDescent="0.35">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row>
    <row r="134" spans="1:52" x14ac:dyDescent="0.35">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row>
    <row r="135" spans="1:52" x14ac:dyDescent="0.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row>
    <row r="136" spans="1:52" x14ac:dyDescent="0.35">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row>
    <row r="137" spans="1:52" x14ac:dyDescent="0.35">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row>
    <row r="138" spans="1:52" x14ac:dyDescent="0.35">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row>
    <row r="139" spans="1:52" x14ac:dyDescent="0.35">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row>
    <row r="140" spans="1:52" x14ac:dyDescent="0.35">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row>
    <row r="141" spans="1:52" x14ac:dyDescent="0.35">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row>
    <row r="142" spans="1:52" x14ac:dyDescent="0.35">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row>
    <row r="143" spans="1:52" x14ac:dyDescent="0.35">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row>
    <row r="144" spans="1:52" x14ac:dyDescent="0.35">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row>
    <row r="145" spans="1:52" x14ac:dyDescent="0.3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row>
    <row r="146" spans="1:52" x14ac:dyDescent="0.35">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row>
    <row r="147" spans="1:52" x14ac:dyDescent="0.35">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row>
    <row r="148" spans="1:52" x14ac:dyDescent="0.35">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row>
    <row r="149" spans="1:52" x14ac:dyDescent="0.35">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row>
    <row r="150" spans="1:52" x14ac:dyDescent="0.35">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row>
    <row r="151" spans="1:52" x14ac:dyDescent="0.35">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row>
    <row r="152" spans="1:52" x14ac:dyDescent="0.35">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row>
    <row r="153" spans="1:52" x14ac:dyDescent="0.35">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row>
    <row r="154" spans="1:52" x14ac:dyDescent="0.35">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row>
    <row r="155" spans="1:52" x14ac:dyDescent="0.3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row>
    <row r="156" spans="1:52" x14ac:dyDescent="0.35">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row>
    <row r="157" spans="1:52" x14ac:dyDescent="0.35">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row>
    <row r="158" spans="1:52" x14ac:dyDescent="0.35">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row>
    <row r="159" spans="1:52" x14ac:dyDescent="0.35">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row>
    <row r="160" spans="1:52" x14ac:dyDescent="0.35">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row>
    <row r="161" spans="1:52" x14ac:dyDescent="0.35">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row>
    <row r="162" spans="1:52" x14ac:dyDescent="0.35">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row>
    <row r="163" spans="1:52" x14ac:dyDescent="0.35">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row>
    <row r="164" spans="1:52" x14ac:dyDescent="0.35">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row>
    <row r="165" spans="1:52" x14ac:dyDescent="0.3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row>
    <row r="166" spans="1:52" x14ac:dyDescent="0.35">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row>
    <row r="167" spans="1:52" x14ac:dyDescent="0.35">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row>
    <row r="168" spans="1:52" x14ac:dyDescent="0.35">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row>
    <row r="169" spans="1:52" x14ac:dyDescent="0.35">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row>
    <row r="170" spans="1:52" x14ac:dyDescent="0.35">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row>
    <row r="171" spans="1:52" x14ac:dyDescent="0.35">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row>
    <row r="172" spans="1:52" x14ac:dyDescent="0.35">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row>
    <row r="173" spans="1:52" x14ac:dyDescent="0.35">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row>
    <row r="174" spans="1:52" x14ac:dyDescent="0.35">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row>
    <row r="175" spans="1:52" x14ac:dyDescent="0.3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row>
    <row r="176" spans="1:52" x14ac:dyDescent="0.35">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row>
    <row r="177" spans="1:52" x14ac:dyDescent="0.35">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row>
    <row r="178" spans="1:52" x14ac:dyDescent="0.35">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row>
    <row r="179" spans="1:52" x14ac:dyDescent="0.35">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row>
    <row r="180" spans="1:52" x14ac:dyDescent="0.35">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row>
    <row r="181" spans="1:52" x14ac:dyDescent="0.35">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row>
    <row r="182" spans="1:52" x14ac:dyDescent="0.35">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row>
    <row r="183" spans="1:52" x14ac:dyDescent="0.35">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row>
    <row r="184" spans="1:52" x14ac:dyDescent="0.35">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row>
    <row r="185" spans="1:52" x14ac:dyDescent="0.3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row>
    <row r="186" spans="1:52" x14ac:dyDescent="0.35">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row>
    <row r="187" spans="1:52" x14ac:dyDescent="0.35">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row>
    <row r="188" spans="1:52" x14ac:dyDescent="0.35">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row>
    <row r="189" spans="1:52" x14ac:dyDescent="0.35">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row>
    <row r="190" spans="1:52" x14ac:dyDescent="0.35">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row>
    <row r="191" spans="1:52" x14ac:dyDescent="0.35">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row>
    <row r="192" spans="1:52" x14ac:dyDescent="0.35">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row>
    <row r="193" spans="1:52" x14ac:dyDescent="0.35">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row>
    <row r="194" spans="1:52" x14ac:dyDescent="0.35">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row>
    <row r="195" spans="1:52" x14ac:dyDescent="0.3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row>
    <row r="196" spans="1:52" x14ac:dyDescent="0.35">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row>
    <row r="197" spans="1:52" x14ac:dyDescent="0.35">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row>
    <row r="198" spans="1:52" x14ac:dyDescent="0.35">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row>
    <row r="199" spans="1:52" x14ac:dyDescent="0.35">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row>
    <row r="200" spans="1:52" x14ac:dyDescent="0.35">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row>
    <row r="201" spans="1:52" x14ac:dyDescent="0.35">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row>
    <row r="202" spans="1:52" x14ac:dyDescent="0.35">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row>
    <row r="203" spans="1:52" x14ac:dyDescent="0.35">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row>
    <row r="204" spans="1:52" x14ac:dyDescent="0.35">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row>
    <row r="205" spans="1:52" x14ac:dyDescent="0.3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row>
    <row r="206" spans="1:52" x14ac:dyDescent="0.35">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row>
    <row r="207" spans="1:52" x14ac:dyDescent="0.35">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c r="AU207" s="34"/>
      <c r="AV207" s="34"/>
      <c r="AW207" s="34"/>
      <c r="AX207" s="34"/>
      <c r="AY207" s="34"/>
      <c r="AZ207" s="34"/>
    </row>
    <row r="208" spans="1:52" x14ac:dyDescent="0.35">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row>
    <row r="209" spans="1:52" x14ac:dyDescent="0.35">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row>
    <row r="210" spans="1:52" x14ac:dyDescent="0.35">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row>
    <row r="211" spans="1:52" x14ac:dyDescent="0.35">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row>
    <row r="212" spans="1:52" x14ac:dyDescent="0.35">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row>
    <row r="213" spans="1:52" x14ac:dyDescent="0.35">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row>
    <row r="214" spans="1:52" x14ac:dyDescent="0.35">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c r="AU214" s="34"/>
      <c r="AV214" s="34"/>
      <c r="AW214" s="34"/>
      <c r="AX214" s="34"/>
      <c r="AY214" s="34"/>
      <c r="AZ214" s="34"/>
    </row>
    <row r="215" spans="1:52" x14ac:dyDescent="0.3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c r="AU215" s="34"/>
      <c r="AV215" s="34"/>
      <c r="AW215" s="34"/>
      <c r="AX215" s="34"/>
      <c r="AY215" s="34"/>
      <c r="AZ215" s="34"/>
    </row>
    <row r="216" spans="1:52" x14ac:dyDescent="0.35">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c r="AU216" s="34"/>
      <c r="AV216" s="34"/>
      <c r="AW216" s="34"/>
      <c r="AX216" s="34"/>
      <c r="AY216" s="34"/>
      <c r="AZ216" s="34"/>
    </row>
    <row r="217" spans="1:52" x14ac:dyDescent="0.35">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row>
    <row r="218" spans="1:52" x14ac:dyDescent="0.35">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row>
    <row r="219" spans="1:52" x14ac:dyDescent="0.35">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row>
    <row r="220" spans="1:52" x14ac:dyDescent="0.35">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row>
    <row r="221" spans="1:52" x14ac:dyDescent="0.35">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row>
    <row r="222" spans="1:52" x14ac:dyDescent="0.35">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row>
    <row r="223" spans="1:52" x14ac:dyDescent="0.35">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row>
    <row r="224" spans="1:52" x14ac:dyDescent="0.35">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34"/>
      <c r="AU224" s="34"/>
      <c r="AV224" s="34"/>
      <c r="AW224" s="34"/>
      <c r="AX224" s="34"/>
      <c r="AY224" s="34"/>
      <c r="AZ224" s="34"/>
    </row>
    <row r="225" spans="1:52" x14ac:dyDescent="0.3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row>
    <row r="226" spans="1:52" x14ac:dyDescent="0.35">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row>
    <row r="227" spans="1:52" x14ac:dyDescent="0.35">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row>
    <row r="228" spans="1:52" x14ac:dyDescent="0.35">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row>
    <row r="229" spans="1:52" x14ac:dyDescent="0.35">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34"/>
      <c r="AU229" s="34"/>
      <c r="AV229" s="34"/>
      <c r="AW229" s="34"/>
      <c r="AX229" s="34"/>
      <c r="AY229" s="34"/>
      <c r="AZ229" s="34"/>
    </row>
    <row r="230" spans="1:52" x14ac:dyDescent="0.35">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34"/>
      <c r="AU230" s="34"/>
      <c r="AV230" s="34"/>
      <c r="AW230" s="34"/>
      <c r="AX230" s="34"/>
      <c r="AY230" s="34"/>
      <c r="AZ230" s="34"/>
    </row>
    <row r="231" spans="1:52" x14ac:dyDescent="0.35">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row>
    <row r="232" spans="1:52" x14ac:dyDescent="0.35">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row>
    <row r="233" spans="1:52" x14ac:dyDescent="0.35">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c r="AU233" s="34"/>
      <c r="AV233" s="34"/>
      <c r="AW233" s="34"/>
      <c r="AX233" s="34"/>
      <c r="AY233" s="34"/>
      <c r="AZ233" s="34"/>
    </row>
    <row r="234" spans="1:52" x14ac:dyDescent="0.35">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4"/>
      <c r="AW234" s="34"/>
      <c r="AX234" s="34"/>
      <c r="AY234" s="34"/>
      <c r="AZ234" s="34"/>
    </row>
    <row r="235" spans="1:52" x14ac:dyDescent="0.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34"/>
      <c r="AU235" s="34"/>
      <c r="AV235" s="34"/>
      <c r="AW235" s="34"/>
      <c r="AX235" s="34"/>
      <c r="AY235" s="34"/>
      <c r="AZ235" s="34"/>
    </row>
    <row r="236" spans="1:52" x14ac:dyDescent="0.35">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c r="AU236" s="34"/>
      <c r="AV236" s="34"/>
      <c r="AW236" s="34"/>
      <c r="AX236" s="34"/>
      <c r="AY236" s="34"/>
      <c r="AZ236" s="34"/>
    </row>
    <row r="237" spans="1:52" x14ac:dyDescent="0.35">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c r="AS237" s="34"/>
      <c r="AT237" s="34"/>
      <c r="AU237" s="34"/>
      <c r="AV237" s="34"/>
      <c r="AW237" s="34"/>
      <c r="AX237" s="34"/>
      <c r="AY237" s="34"/>
      <c r="AZ237" s="34"/>
    </row>
    <row r="238" spans="1:52" x14ac:dyDescent="0.35">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row>
    <row r="239" spans="1:52" x14ac:dyDescent="0.35">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c r="AU239" s="34"/>
      <c r="AV239" s="34"/>
      <c r="AW239" s="34"/>
      <c r="AX239" s="34"/>
      <c r="AY239" s="34"/>
      <c r="AZ239" s="34"/>
    </row>
    <row r="240" spans="1:52" x14ac:dyDescent="0.3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row>
    <row r="241" spans="1:52" x14ac:dyDescent="0.3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row>
    <row r="242" spans="1:52" x14ac:dyDescent="0.3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row>
    <row r="243" spans="1:52" x14ac:dyDescent="0.3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row>
    <row r="244" spans="1:52" x14ac:dyDescent="0.3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row>
    <row r="245" spans="1:52" x14ac:dyDescent="0.3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c r="AW245" s="34"/>
      <c r="AX245" s="34"/>
      <c r="AY245" s="34"/>
      <c r="AZ245" s="34"/>
    </row>
    <row r="246" spans="1:52" x14ac:dyDescent="0.3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c r="AU246" s="34"/>
      <c r="AV246" s="34"/>
      <c r="AW246" s="34"/>
      <c r="AX246" s="34"/>
      <c r="AY246" s="34"/>
      <c r="AZ246" s="34"/>
    </row>
    <row r="247" spans="1:52" x14ac:dyDescent="0.3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34"/>
      <c r="AU247" s="34"/>
      <c r="AV247" s="34"/>
      <c r="AW247" s="34"/>
      <c r="AX247" s="34"/>
      <c r="AY247" s="34"/>
      <c r="AZ247" s="34"/>
    </row>
    <row r="248" spans="1:52" x14ac:dyDescent="0.3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34"/>
      <c r="AU248" s="34"/>
      <c r="AV248" s="34"/>
      <c r="AW248" s="34"/>
      <c r="AX248" s="34"/>
      <c r="AY248" s="34"/>
      <c r="AZ248" s="34"/>
    </row>
    <row r="249" spans="1:52" x14ac:dyDescent="0.3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row>
    <row r="250" spans="1:52" x14ac:dyDescent="0.35">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row>
    <row r="251" spans="1:52" x14ac:dyDescent="0.35">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row>
    <row r="252" spans="1:52" x14ac:dyDescent="0.35">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row>
    <row r="253" spans="1:52" x14ac:dyDescent="0.35">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row>
    <row r="254" spans="1:52" x14ac:dyDescent="0.35">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34"/>
      <c r="AU254" s="34"/>
      <c r="AV254" s="34"/>
      <c r="AW254" s="34"/>
      <c r="AX254" s="34"/>
      <c r="AY254" s="34"/>
      <c r="AZ254" s="34"/>
    </row>
    <row r="255" spans="1:52" x14ac:dyDescent="0.3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row>
    <row r="256" spans="1:52" x14ac:dyDescent="0.35">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row>
    <row r="257" spans="1:52" x14ac:dyDescent="0.35">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row>
    <row r="258" spans="1:52" x14ac:dyDescent="0.35">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34"/>
      <c r="AW258" s="34"/>
      <c r="AX258" s="34"/>
      <c r="AY258" s="34"/>
      <c r="AZ258" s="34"/>
    </row>
    <row r="259" spans="1:52" x14ac:dyDescent="0.35">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34"/>
      <c r="AW259" s="34"/>
      <c r="AX259" s="34"/>
      <c r="AY259" s="34"/>
      <c r="AZ259" s="34"/>
    </row>
    <row r="260" spans="1:52" x14ac:dyDescent="0.35">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34"/>
      <c r="AW260" s="34"/>
      <c r="AX260" s="34"/>
      <c r="AY260" s="34"/>
      <c r="AZ260" s="34"/>
    </row>
    <row r="261" spans="1:52" x14ac:dyDescent="0.35">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row>
    <row r="262" spans="1:52" x14ac:dyDescent="0.35">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row>
    <row r="263" spans="1:52" x14ac:dyDescent="0.35">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34"/>
      <c r="AW263" s="34"/>
      <c r="AX263" s="34"/>
      <c r="AY263" s="34"/>
      <c r="AZ263" s="34"/>
    </row>
    <row r="264" spans="1:52" x14ac:dyDescent="0.35">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row>
    <row r="265" spans="1:52" x14ac:dyDescent="0.3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row>
    <row r="266" spans="1:52" x14ac:dyDescent="0.35">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row>
    <row r="267" spans="1:52" x14ac:dyDescent="0.35">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row>
    <row r="268" spans="1:52" x14ac:dyDescent="0.35">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row>
    <row r="269" spans="1:52" x14ac:dyDescent="0.35">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row>
    <row r="270" spans="1:52" x14ac:dyDescent="0.35">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row>
    <row r="271" spans="1:52" x14ac:dyDescent="0.35">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row>
    <row r="272" spans="1:52" x14ac:dyDescent="0.35">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row>
    <row r="273" spans="1:52" x14ac:dyDescent="0.35">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4"/>
      <c r="AW273" s="34"/>
      <c r="AX273" s="34"/>
      <c r="AY273" s="34"/>
      <c r="AZ273" s="34"/>
    </row>
    <row r="274" spans="1:52" x14ac:dyDescent="0.35">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34"/>
      <c r="AW274" s="34"/>
      <c r="AX274" s="34"/>
      <c r="AY274" s="34"/>
      <c r="AZ274" s="34"/>
    </row>
    <row r="275" spans="1:52" x14ac:dyDescent="0.3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row>
    <row r="276" spans="1:52" x14ac:dyDescent="0.35">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row>
    <row r="277" spans="1:52" x14ac:dyDescent="0.35">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34"/>
      <c r="AW277" s="34"/>
      <c r="AX277" s="34"/>
      <c r="AY277" s="34"/>
      <c r="AZ277" s="34"/>
    </row>
    <row r="278" spans="1:52" x14ac:dyDescent="0.35">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c r="AU278" s="34"/>
      <c r="AV278" s="34"/>
      <c r="AW278" s="34"/>
      <c r="AX278" s="34"/>
      <c r="AY278" s="34"/>
      <c r="AZ278" s="34"/>
    </row>
    <row r="279" spans="1:52" x14ac:dyDescent="0.35">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row>
    <row r="280" spans="1:52" x14ac:dyDescent="0.35">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c r="AU280" s="34"/>
      <c r="AV280" s="34"/>
      <c r="AW280" s="34"/>
      <c r="AX280" s="34"/>
      <c r="AY280" s="34"/>
      <c r="AZ280" s="34"/>
    </row>
    <row r="281" spans="1:52" x14ac:dyDescent="0.35">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34"/>
      <c r="AW281" s="34"/>
      <c r="AX281" s="34"/>
      <c r="AY281" s="34"/>
      <c r="AZ281" s="34"/>
    </row>
    <row r="282" spans="1:52" x14ac:dyDescent="0.35">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34"/>
      <c r="AW282" s="34"/>
      <c r="AX282" s="34"/>
      <c r="AY282" s="34"/>
      <c r="AZ282" s="34"/>
    </row>
    <row r="283" spans="1:52" x14ac:dyDescent="0.35">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row>
    <row r="284" spans="1:52" x14ac:dyDescent="0.35">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34"/>
      <c r="AW284" s="34"/>
      <c r="AX284" s="34"/>
      <c r="AY284" s="34"/>
      <c r="AZ284" s="34"/>
    </row>
    <row r="285" spans="1:52" x14ac:dyDescent="0.3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row>
    <row r="286" spans="1:52" x14ac:dyDescent="0.35">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row>
    <row r="287" spans="1:52" x14ac:dyDescent="0.35">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row>
    <row r="288" spans="1:52" x14ac:dyDescent="0.35">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34"/>
      <c r="AW288" s="34"/>
      <c r="AX288" s="34"/>
      <c r="AY288" s="34"/>
      <c r="AZ288" s="34"/>
    </row>
    <row r="289" spans="1:52" x14ac:dyDescent="0.35">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34"/>
      <c r="AW289" s="34"/>
      <c r="AX289" s="34"/>
      <c r="AY289" s="34"/>
      <c r="AZ289" s="34"/>
    </row>
    <row r="290" spans="1:52" x14ac:dyDescent="0.35">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row>
    <row r="291" spans="1:52" x14ac:dyDescent="0.35">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row>
    <row r="292" spans="1:52" x14ac:dyDescent="0.35">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row>
    <row r="293" spans="1:52" x14ac:dyDescent="0.35">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AW293" s="34"/>
      <c r="AX293" s="34"/>
      <c r="AY293" s="34"/>
      <c r="AZ293" s="34"/>
    </row>
    <row r="294" spans="1:52" x14ac:dyDescent="0.35">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row>
    <row r="295" spans="1:52" x14ac:dyDescent="0.3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34"/>
      <c r="AW295" s="34"/>
      <c r="AX295" s="34"/>
      <c r="AY295" s="34"/>
      <c r="AZ295" s="34"/>
    </row>
    <row r="296" spans="1:52" x14ac:dyDescent="0.35">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34"/>
      <c r="AW296" s="34"/>
      <c r="AX296" s="34"/>
      <c r="AY296" s="34"/>
      <c r="AZ296" s="34"/>
    </row>
    <row r="297" spans="1:52" x14ac:dyDescent="0.35">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AW297" s="34"/>
      <c r="AX297" s="34"/>
      <c r="AY297" s="34"/>
      <c r="AZ297" s="34"/>
    </row>
    <row r="298" spans="1:52" x14ac:dyDescent="0.35">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AW298" s="34"/>
      <c r="AX298" s="34"/>
      <c r="AY298" s="34"/>
      <c r="AZ298" s="34"/>
    </row>
    <row r="299" spans="1:52" x14ac:dyDescent="0.35">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AW299" s="34"/>
      <c r="AX299" s="34"/>
      <c r="AY299" s="34"/>
      <c r="AZ299" s="34"/>
    </row>
    <row r="300" spans="1:52" x14ac:dyDescent="0.35">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34"/>
      <c r="AW300" s="34"/>
      <c r="AX300" s="34"/>
      <c r="AY300" s="34"/>
      <c r="AZ300" s="34"/>
    </row>
  </sheetData>
  <mergeCells count="30">
    <mergeCell ref="C23:G23"/>
    <mergeCell ref="C24:G24"/>
    <mergeCell ref="H23:M23"/>
    <mergeCell ref="H24:M24"/>
    <mergeCell ref="B26:M26"/>
    <mergeCell ref="K13:M13"/>
    <mergeCell ref="K14:M14"/>
    <mergeCell ref="B19:D19"/>
    <mergeCell ref="B20:D20"/>
    <mergeCell ref="E19:G19"/>
    <mergeCell ref="E20:G20"/>
    <mergeCell ref="H19:J19"/>
    <mergeCell ref="H20:J20"/>
    <mergeCell ref="K19:M19"/>
    <mergeCell ref="K20:M20"/>
    <mergeCell ref="B13:D13"/>
    <mergeCell ref="B14:D14"/>
    <mergeCell ref="E13:G13"/>
    <mergeCell ref="E14:G14"/>
    <mergeCell ref="H13:J13"/>
    <mergeCell ref="H14:J14"/>
    <mergeCell ref="B4:M4"/>
    <mergeCell ref="B9:D9"/>
    <mergeCell ref="B10:D10"/>
    <mergeCell ref="E9:G9"/>
    <mergeCell ref="E10:G10"/>
    <mergeCell ref="H9:J9"/>
    <mergeCell ref="H10:J10"/>
    <mergeCell ref="K9:M9"/>
    <mergeCell ref="K10:M10"/>
  </mergeCells>
  <hyperlinks>
    <hyperlink ref="B9" location="'Dashboard'!A1" display="📊  Dashboard" xr:uid="{280E8AFF-619B-4510-A63C-7C552B913853}"/>
    <hyperlink ref="E9" location="'Board'!A1" display="🗂  Board" xr:uid="{DD611EC5-BD20-46FF-9844-AA155FAAFAFA}"/>
    <hyperlink ref="H9" location="'Room'!A1" display="💬  Room" xr:uid="{2C074D69-0EB0-4D56-8DB3-8133B540DE08}"/>
    <hyperlink ref="K9" location="'My Work'!A1" display="👤  My Work" xr:uid="{AE53E0E5-6DDF-4F6C-B526-9628D20CB232}"/>
    <hyperlink ref="B13" location="'Calendar'!A1" display="📅  Calendar" xr:uid="{4E6AA8CA-A779-433D-96AF-3CA93053E934}"/>
    <hyperlink ref="E13" location="'Scorecards'!A1" display="🏆  Scorecards" xr:uid="{B1A6816A-CC44-4340-A7F2-83B752D5F325}"/>
    <hyperlink ref="H13" location="'Tasks'!A1" display="✅  Tasks" xr:uid="{B911E78B-9B29-484E-BA32-073585170DB7}"/>
    <hyperlink ref="K13" location="'Projects'!A1" display="📁  Projects" xr:uid="{9C55331C-78D0-4B20-945C-94200A29A7A3}"/>
  </hyperlinks>
  <pageMargins left="0.7" right="0.7" top="0.75" bottom="0.75" header="0.3" footer="0.3"/>
  <pageSetup scale="8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3B70F-E592-4BDF-839E-4C88B38B585A}">
  <sheetPr>
    <tabColor rgb="FF5B5BD6"/>
    <pageSetUpPr fitToPage="1"/>
  </sheetPr>
  <dimension ref="A1:AZ300"/>
  <sheetViews>
    <sheetView showGridLines="0" showRowColHeaders="0" topLeftCell="A62" zoomScale="85" zoomScaleNormal="85" workbookViewId="0">
      <selection activeCell="J70" sqref="J70"/>
    </sheetView>
  </sheetViews>
  <sheetFormatPr defaultRowHeight="15" x14ac:dyDescent="0.35"/>
  <cols>
    <col min="1" max="1" width="2.77734375" customWidth="1"/>
    <col min="2" max="15" width="11.77734375" customWidth="1"/>
    <col min="16" max="16" width="2.77734375" customWidth="1"/>
  </cols>
  <sheetData>
    <row r="1" spans="1:52" ht="7.95" customHeight="1" x14ac:dyDescent="0.35">
      <c r="A1" s="1"/>
      <c r="B1" s="1"/>
      <c r="C1" s="1"/>
      <c r="D1" s="1"/>
      <c r="E1" s="1"/>
      <c r="F1" s="1"/>
      <c r="G1" s="1"/>
      <c r="H1" s="1"/>
      <c r="I1" s="1"/>
      <c r="J1" s="1"/>
      <c r="K1" s="1"/>
      <c r="L1" s="1"/>
      <c r="M1" s="1"/>
      <c r="N1" s="1"/>
      <c r="O1" s="1"/>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row>
    <row r="2" spans="1:52" ht="34.049999999999997" customHeight="1" x14ac:dyDescent="0.35">
      <c r="A2" s="1"/>
      <c r="B2" s="2" t="s">
        <v>228</v>
      </c>
      <c r="C2" s="1"/>
      <c r="D2" s="1"/>
      <c r="E2" s="1"/>
      <c r="F2" s="1"/>
      <c r="G2" s="1"/>
      <c r="H2" s="1"/>
      <c r="I2" s="1"/>
      <c r="J2" s="1"/>
      <c r="K2" s="1"/>
      <c r="L2" s="1"/>
      <c r="M2" s="1"/>
      <c r="N2" s="1"/>
      <c r="O2" s="4" t="s">
        <v>2</v>
      </c>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row>
    <row r="3" spans="1:52" ht="19.95" customHeight="1" x14ac:dyDescent="0.35">
      <c r="A3" s="1"/>
      <c r="B3" s="3" t="s">
        <v>229</v>
      </c>
      <c r="C3" s="1"/>
      <c r="D3" s="1"/>
      <c r="E3" s="1"/>
      <c r="F3" s="1"/>
      <c r="G3" s="1"/>
      <c r="H3" s="1"/>
      <c r="I3" s="1"/>
      <c r="J3" s="1"/>
      <c r="K3" s="1"/>
      <c r="L3" s="225" t="str">
        <f t="shared" ref="L3" ca="1" si="0">"Updated "&amp;TEXT(NOW(),"ddd d mmm, h:mm AM/PM")</f>
        <v>Updated Sat 17 Oct, 9:11 AM</v>
      </c>
      <c r="M3" s="225"/>
      <c r="N3" s="225"/>
      <c r="O3" s="225"/>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row>
    <row r="4" spans="1:52" ht="10.050000000000001" customHeight="1" x14ac:dyDescent="0.35">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row>
    <row r="5" spans="1:52" x14ac:dyDescent="0.35">
      <c r="A5" s="34"/>
      <c r="B5" s="35" t="s">
        <v>230</v>
      </c>
      <c r="C5" s="34"/>
      <c r="D5" s="34"/>
      <c r="E5" s="34"/>
      <c r="F5" s="34"/>
      <c r="G5" s="34"/>
      <c r="H5" s="34"/>
      <c r="I5" s="34"/>
      <c r="J5" s="226" t="str">
        <f>IF(Calc!C58&lt;COUNTA(tblTasks[Task]),"🔎 Filtered: showing "&amp;Calc!C58&amp;" of "&amp;COUNTA(tblTasks[Task])&amp;" tasks - clear slicers to see all","Showing all "&amp;COUNTA(tblTasks[Task])&amp;" tasks")</f>
        <v>Showing all 41 tasks</v>
      </c>
      <c r="K5" s="226"/>
      <c r="L5" s="226"/>
      <c r="M5" s="226"/>
      <c r="N5" s="226"/>
      <c r="O5" s="226"/>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row>
    <row r="6" spans="1:52" ht="25.95" customHeight="1" x14ac:dyDescent="0.35">
      <c r="A6" s="34"/>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row>
    <row r="7" spans="1:52" ht="25.95" customHeight="1" x14ac:dyDescent="0.35">
      <c r="A7" s="34"/>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row>
    <row r="8" spans="1:52" ht="25.95" customHeight="1" x14ac:dyDescent="0.35">
      <c r="A8" s="34"/>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row>
    <row r="9" spans="1:52" ht="25.95" customHeight="1" x14ac:dyDescent="0.35">
      <c r="A9" s="34"/>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row>
    <row r="10" spans="1:52" ht="10.050000000000001" customHeight="1" x14ac:dyDescent="0.35">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row>
    <row r="11" spans="1:52" ht="4.95" customHeight="1" x14ac:dyDescent="0.35">
      <c r="A11" s="34"/>
      <c r="B11" s="227"/>
      <c r="C11" s="228"/>
      <c r="D11" s="219"/>
      <c r="E11" s="220"/>
      <c r="F11" s="229"/>
      <c r="G11" s="230"/>
      <c r="H11" s="233"/>
      <c r="I11" s="234"/>
      <c r="J11" s="242"/>
      <c r="K11" s="243"/>
      <c r="L11" s="244"/>
      <c r="M11" s="245"/>
      <c r="N11" s="237"/>
      <c r="O11" s="238"/>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row>
    <row r="12" spans="1:52" ht="18" customHeight="1" x14ac:dyDescent="0.35">
      <c r="A12" s="34"/>
      <c r="B12" s="221" t="s">
        <v>231</v>
      </c>
      <c r="C12" s="222"/>
      <c r="D12" s="221" t="s">
        <v>232</v>
      </c>
      <c r="E12" s="222"/>
      <c r="F12" s="221" t="s">
        <v>233</v>
      </c>
      <c r="G12" s="222"/>
      <c r="H12" s="221" t="s">
        <v>234</v>
      </c>
      <c r="I12" s="222"/>
      <c r="J12" s="221" t="s">
        <v>235</v>
      </c>
      <c r="K12" s="222"/>
      <c r="L12" s="221" t="s">
        <v>236</v>
      </c>
      <c r="M12" s="222"/>
      <c r="N12" s="221" t="s">
        <v>237</v>
      </c>
      <c r="O12" s="239"/>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row>
    <row r="13" spans="1:52" ht="36" customHeight="1" x14ac:dyDescent="0.35">
      <c r="A13" s="34"/>
      <c r="B13" s="223">
        <f>Calc!C58</f>
        <v>41</v>
      </c>
      <c r="C13" s="224"/>
      <c r="D13" s="223" cm="1">
        <f t="array" ref="D13">COUNTIFS(tblTasks[Visible],1,tblTasks[Status],"&lt;&gt;"&amp;DoneStatus,tblTasks[Task],"&lt;&gt;")</f>
        <v>41</v>
      </c>
      <c r="E13" s="224"/>
      <c r="F13" s="231">
        <f>Calc!C60</f>
        <v>0</v>
      </c>
      <c r="G13" s="232"/>
      <c r="H13" s="235">
        <f ca="1">COUNTIFS(tblTasks[Visible],1,tblTasks[State],"Overdue")</f>
        <v>13</v>
      </c>
      <c r="I13" s="236"/>
      <c r="J13" s="223">
        <f ca="1">COUNTIFS(tblTasks[Visible],1,tblTasks[State],"Due soon")</f>
        <v>14</v>
      </c>
      <c r="K13" s="224"/>
      <c r="L13" s="223" cm="1">
        <f t="array" ref="L13">COUNTIFS(tblTasks[Visible],1,tblTasks[Status],INDEX(lstStatus,4))</f>
        <v>2</v>
      </c>
      <c r="M13" s="224"/>
      <c r="N13" s="223" cm="1">
        <f t="array" aca="1" ref="N13" ca="1">IFERROR(ROUND(AVERAGE(_xlfn._xlws.FILTER(_xlfn.ANCHORARRAY(Scorecards!I8),_xlfn.ANCHORARRAY(Scorecards!I8)&lt;&gt;"")),0),0)</f>
        <v>14</v>
      </c>
      <c r="O13" s="240"/>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row>
    <row r="14" spans="1:52" ht="18" customHeight="1" x14ac:dyDescent="0.35">
      <c r="A14" s="34"/>
      <c r="B14" s="217" t="str" cm="1">
        <f t="array" ref="B14">"across "&amp;COUNTA(_xlfn.UNIQUE(_xlfn._xlws.FILTER(tblTasks[Project],(tblTasks[Visible]=1)*(tblTasks[Task]&lt;&gt;""),"")))&amp;" projects"</f>
        <v>across 7 projects</v>
      </c>
      <c r="C14" s="218"/>
      <c r="D14" s="217" t="str" cm="1">
        <f t="array" ref="D14">COUNTIFS(tblTasks[Visible],1,tblTasks[Status],INDEX(lstStatus,2))&amp;" in progress"</f>
        <v>9 in progress</v>
      </c>
      <c r="E14" s="218"/>
      <c r="F14" s="217" t="str">
        <f>Calc!C59&amp;" tasks done"</f>
        <v>0 tasks done</v>
      </c>
      <c r="G14" s="218"/>
      <c r="H14" s="217" t="str">
        <f t="shared" ref="H14" si="1">"need attention now"</f>
        <v>need attention now</v>
      </c>
      <c r="I14" s="218"/>
      <c r="J14" s="217" t="str">
        <f t="shared" ref="J14" si="2">"coming up this week"</f>
        <v>coming up this week</v>
      </c>
      <c r="K14" s="218"/>
      <c r="L14" s="217" t="str">
        <f t="shared" ref="L14" si="3">"waiting on someone"</f>
        <v>waiting on someone</v>
      </c>
      <c r="M14" s="218"/>
      <c r="N14" s="217" t="str">
        <f t="shared" ref="N14" ca="1" si="4">REPT("★",ROUND(N13/20,0))&amp;REPT("☆",5-ROUND(N13/20,0))</f>
        <v>★☆☆☆☆</v>
      </c>
      <c r="O14" s="241"/>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row>
    <row r="15" spans="1:52" ht="6" customHeight="1" x14ac:dyDescent="0.35">
      <c r="A15" s="34"/>
      <c r="B15" s="39"/>
      <c r="C15" s="41"/>
      <c r="D15" s="39"/>
      <c r="E15" s="41"/>
      <c r="F15" s="39"/>
      <c r="G15" s="41"/>
      <c r="H15" s="39"/>
      <c r="I15" s="41"/>
      <c r="J15" s="39"/>
      <c r="K15" s="41"/>
      <c r="L15" s="39"/>
      <c r="M15" s="41"/>
      <c r="N15" s="39"/>
      <c r="O15" s="40"/>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row>
    <row r="16" spans="1:52" x14ac:dyDescent="0.35">
      <c r="A16" s="34"/>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row>
    <row r="17" spans="1:52" ht="15" customHeight="1" x14ac:dyDescent="0.35">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row>
    <row r="18" spans="1:52" ht="15" customHeight="1" x14ac:dyDescent="0.35">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row>
    <row r="19" spans="1:52" ht="15" customHeight="1" x14ac:dyDescent="0.35">
      <c r="A19" s="34"/>
      <c r="B19" s="34"/>
      <c r="C19" s="34"/>
      <c r="D19" s="34"/>
      <c r="E19" s="34"/>
      <c r="F19" s="34"/>
      <c r="G19" s="34"/>
      <c r="H19" s="34"/>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row>
    <row r="20" spans="1:52" ht="15" customHeight="1" x14ac:dyDescent="0.35">
      <c r="A20" s="34"/>
      <c r="B20" s="34"/>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row>
    <row r="21" spans="1:52" ht="15" customHeight="1" x14ac:dyDescent="0.35">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row>
    <row r="22" spans="1:52" ht="15" customHeight="1" x14ac:dyDescent="0.35">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row>
    <row r="23" spans="1:52" ht="15" customHeight="1" x14ac:dyDescent="0.35">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row>
    <row r="24" spans="1:52" ht="15" customHeight="1" x14ac:dyDescent="0.35">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row>
    <row r="25" spans="1:52" ht="15" customHeight="1" x14ac:dyDescent="0.35">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row>
    <row r="26" spans="1:52" ht="15" customHeight="1" x14ac:dyDescent="0.35">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row>
    <row r="27" spans="1:52" ht="15" customHeight="1" x14ac:dyDescent="0.35">
      <c r="A27" s="34"/>
      <c r="B27" s="34"/>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row>
    <row r="28" spans="1:52" ht="15" customHeight="1" x14ac:dyDescent="0.35">
      <c r="A28" s="34"/>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row>
    <row r="29" spans="1:52" ht="15" customHeight="1" x14ac:dyDescent="0.35">
      <c r="A29" s="34"/>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row>
    <row r="30" spans="1:52" ht="15" customHeight="1" x14ac:dyDescent="0.35">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row>
    <row r="31" spans="1:52" ht="15" customHeight="1" x14ac:dyDescent="0.35">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row>
    <row r="32" spans="1:52" ht="15" customHeight="1" x14ac:dyDescent="0.35">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row>
    <row r="33" spans="1:52" x14ac:dyDescent="0.35">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row>
    <row r="34" spans="1:52" ht="15" customHeight="1" x14ac:dyDescent="0.35">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row>
    <row r="35" spans="1:52" ht="15" customHeight="1" x14ac:dyDescent="0.35">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row>
    <row r="36" spans="1:52" ht="15" customHeight="1" x14ac:dyDescent="0.35">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row>
    <row r="37" spans="1:52" ht="15" customHeight="1" x14ac:dyDescent="0.35">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row>
    <row r="38" spans="1:52" ht="15" customHeight="1" x14ac:dyDescent="0.35">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row>
    <row r="39" spans="1:52" ht="15" customHeight="1" x14ac:dyDescent="0.35">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row>
    <row r="40" spans="1:52" ht="15" customHeight="1" x14ac:dyDescent="0.35">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row>
    <row r="41" spans="1:52" ht="15" customHeight="1" x14ac:dyDescent="0.35">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row>
    <row r="42" spans="1:52" ht="15" customHeight="1" x14ac:dyDescent="0.35">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row>
    <row r="43" spans="1:52" ht="15" customHeight="1" x14ac:dyDescent="0.35">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row>
    <row r="44" spans="1:52" ht="15" customHeight="1" x14ac:dyDescent="0.35">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row>
    <row r="45" spans="1:52" ht="15" customHeight="1" x14ac:dyDescent="0.3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row>
    <row r="46" spans="1:52" ht="15" customHeight="1" x14ac:dyDescent="0.35">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row>
    <row r="47" spans="1:52" ht="15" customHeight="1" x14ac:dyDescent="0.35">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row>
    <row r="48" spans="1:52" ht="15" customHeight="1" x14ac:dyDescent="0.35">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row>
    <row r="49" spans="1:52" ht="15" customHeight="1" x14ac:dyDescent="0.35">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row>
    <row r="50" spans="1:52" ht="15" customHeight="1" x14ac:dyDescent="0.35">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row>
    <row r="51" spans="1:52" ht="15" customHeight="1" x14ac:dyDescent="0.35">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row>
    <row r="52" spans="1:52" x14ac:dyDescent="0.35">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row>
    <row r="53" spans="1:52" x14ac:dyDescent="0.35">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row>
    <row r="54" spans="1:52" ht="19.8" x14ac:dyDescent="0.45">
      <c r="A54" s="34"/>
      <c r="B54" s="46" t="s">
        <v>238</v>
      </c>
      <c r="C54" s="34"/>
      <c r="D54" s="34"/>
      <c r="E54" s="47" t="s">
        <v>239</v>
      </c>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row>
    <row r="55" spans="1:52" ht="19.95" customHeight="1" x14ac:dyDescent="0.35">
      <c r="A55" s="34"/>
      <c r="B55" s="51" t="s">
        <v>123</v>
      </c>
      <c r="C55" s="52" t="s">
        <v>240</v>
      </c>
      <c r="D55" s="52" t="s">
        <v>241</v>
      </c>
      <c r="E55" s="52" t="s">
        <v>242</v>
      </c>
      <c r="F55" s="52" t="s">
        <v>243</v>
      </c>
      <c r="G55" s="52" t="s">
        <v>244</v>
      </c>
      <c r="H55" s="52" t="s">
        <v>245</v>
      </c>
      <c r="I55" s="53"/>
      <c r="J55" s="53"/>
      <c r="K55" s="53"/>
      <c r="L55" s="53"/>
      <c r="M55" s="53"/>
      <c r="N55" s="53"/>
      <c r="O55" s="57"/>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row>
    <row r="56" spans="1:52" ht="19.95" customHeight="1" x14ac:dyDescent="0.35">
      <c r="A56" s="34"/>
      <c r="B56" s="60" t="str" cm="1">
        <f t="array" aca="1" ref="B56:H65" ca="1">_xlfn.LET(_xlpm.m,(tblTasks[Visible]=1)*(tblTasks[Task]&lt;&gt;"")*(((tblTasks[State]="Overdue")+(tblTasks[Priority]="Urgent")*(tblTasks[Status]&lt;&gt;DoneStatus))&gt;0),IFERROR(_xlfn.TAKE(_xlfn.SORTBY(_xlfn._xlws.FILTER(_xlfn.HSTACK(tblTasks[ID],tblTasks[Priority],tblTasks[Due Date],tblTasks[State],tblTasks[Owner],IFERROR(_xlfn.XLOOKUP(tblTasks[Project],tblProjects[Project],tblProjects[Code]),"OPS"),tblTasks[Task]),_xlpm.m),_xlfn._xlws.FILTER(tblTasks[DueKey],_xlpm.m),1),10),"🎉 Nothing needs attention right now"))</f>
        <v>T-010</v>
      </c>
      <c r="C56" s="61" t="str">
        <f ca="1"/>
        <v>High</v>
      </c>
      <c r="D56" s="62">
        <f ca="1"/>
        <v>46292</v>
      </c>
      <c r="E56" s="61" t="str">
        <f ca="1"/>
        <v>Overdue</v>
      </c>
      <c r="F56" s="61" t="str">
        <f ca="1"/>
        <v>Lina Park</v>
      </c>
      <c r="G56" s="61" t="str">
        <f ca="1"/>
        <v>MKT</v>
      </c>
      <c r="H56" s="63" t="str">
        <f ca="1"/>
        <v>Campaign brief &amp; goals</v>
      </c>
      <c r="I56" s="61"/>
      <c r="J56" s="61"/>
      <c r="K56" s="61"/>
      <c r="L56" s="61"/>
      <c r="M56" s="61"/>
      <c r="N56" s="61"/>
      <c r="O56" s="6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row>
    <row r="57" spans="1:52" ht="19.95" customHeight="1" x14ac:dyDescent="0.35">
      <c r="A57" s="34"/>
      <c r="B57" s="65" t="str">
        <f ca="1"/>
        <v>T-016</v>
      </c>
      <c r="C57" s="66" t="str">
        <f ca="1"/>
        <v>Urgent</v>
      </c>
      <c r="D57" s="67">
        <f ca="1"/>
        <v>46296</v>
      </c>
      <c r="E57" s="66" t="str">
        <f ca="1"/>
        <v>Overdue</v>
      </c>
      <c r="F57" s="66" t="str">
        <f ca="1"/>
        <v>Ravi Kumar</v>
      </c>
      <c r="G57" s="66" t="str">
        <f ca="1"/>
        <v>MKT</v>
      </c>
      <c r="H57" s="68" t="str">
        <f ca="1"/>
        <v>Budget approval</v>
      </c>
      <c r="I57" s="66"/>
      <c r="J57" s="66"/>
      <c r="K57" s="66"/>
      <c r="L57" s="66"/>
      <c r="M57" s="66"/>
      <c r="N57" s="66"/>
      <c r="O57" s="69"/>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row>
    <row r="58" spans="1:52" ht="19.95" customHeight="1" x14ac:dyDescent="0.35">
      <c r="A58" s="34"/>
      <c r="B58" s="65" t="str">
        <f ca="1"/>
        <v>T-001</v>
      </c>
      <c r="C58" s="66" t="str">
        <f ca="1"/>
        <v>High</v>
      </c>
      <c r="D58" s="67">
        <f ca="1"/>
        <v>46300</v>
      </c>
      <c r="E58" s="66" t="str">
        <f ca="1"/>
        <v>Overdue</v>
      </c>
      <c r="F58" s="66" t="str">
        <f ca="1"/>
        <v>Nora Fischer</v>
      </c>
      <c r="G58" s="66" t="str">
        <f ca="1"/>
        <v>WEB</v>
      </c>
      <c r="H58" s="68" t="str">
        <f ca="1"/>
        <v>Finalize homepage wireframes</v>
      </c>
      <c r="I58" s="66"/>
      <c r="J58" s="66"/>
      <c r="K58" s="66"/>
      <c r="L58" s="66"/>
      <c r="M58" s="66"/>
      <c r="N58" s="66"/>
      <c r="O58" s="69"/>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row>
    <row r="59" spans="1:52" ht="19.95" customHeight="1" x14ac:dyDescent="0.35">
      <c r="A59" s="34"/>
      <c r="B59" s="65" t="str">
        <f ca="1"/>
        <v>T-023</v>
      </c>
      <c r="C59" s="66" t="str">
        <f ca="1"/>
        <v>Normal</v>
      </c>
      <c r="D59" s="67">
        <f ca="1"/>
        <v>46301</v>
      </c>
      <c r="E59" s="66" t="str">
        <f ca="1"/>
        <v>Overdue</v>
      </c>
      <c r="F59" s="66" t="str">
        <f ca="1"/>
        <v>Tom Becker</v>
      </c>
      <c r="G59" s="66" t="str">
        <f ca="1"/>
        <v>APP</v>
      </c>
      <c r="H59" s="68" t="str">
        <f ca="1"/>
        <v>Crash reporting setup</v>
      </c>
      <c r="I59" s="66"/>
      <c r="J59" s="66"/>
      <c r="K59" s="66"/>
      <c r="L59" s="66"/>
      <c r="M59" s="66"/>
      <c r="N59" s="66"/>
      <c r="O59" s="69"/>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row>
    <row r="60" spans="1:52" ht="19.95" customHeight="1" x14ac:dyDescent="0.35">
      <c r="A60" s="34"/>
      <c r="B60" s="65" t="str">
        <f ca="1"/>
        <v>T-026</v>
      </c>
      <c r="C60" s="66" t="str">
        <f ca="1"/>
        <v>High</v>
      </c>
      <c r="D60" s="67">
        <f ca="1"/>
        <v>46302</v>
      </c>
      <c r="E60" s="66" t="str">
        <f ca="1"/>
        <v>Overdue</v>
      </c>
      <c r="F60" s="66" t="str">
        <f ca="1"/>
        <v>Maya Chen</v>
      </c>
      <c r="G60" s="66" t="str">
        <f ca="1"/>
        <v>ONB</v>
      </c>
      <c r="H60" s="68" t="str">
        <f ca="1"/>
        <v>Map current onboarding journey</v>
      </c>
      <c r="I60" s="66"/>
      <c r="J60" s="66"/>
      <c r="K60" s="66"/>
      <c r="L60" s="66"/>
      <c r="M60" s="66"/>
      <c r="N60" s="66"/>
      <c r="O60" s="69"/>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row>
    <row r="61" spans="1:52" ht="19.95" customHeight="1" x14ac:dyDescent="0.35">
      <c r="A61" s="34"/>
      <c r="B61" s="65" t="str">
        <f ca="1"/>
        <v>T-020</v>
      </c>
      <c r="C61" s="66" t="str">
        <f ca="1"/>
        <v>Normal</v>
      </c>
      <c r="D61" s="67">
        <f ca="1"/>
        <v>46304</v>
      </c>
      <c r="E61" s="66" t="str">
        <f ca="1"/>
        <v>Overdue</v>
      </c>
      <c r="F61" s="66" t="str">
        <f ca="1"/>
        <v>Nora Fischer</v>
      </c>
      <c r="G61" s="66" t="str">
        <f ca="1"/>
        <v>APP</v>
      </c>
      <c r="H61" s="68" t="str">
        <f ca="1"/>
        <v>Dark theme UI</v>
      </c>
      <c r="I61" s="66"/>
      <c r="J61" s="66"/>
      <c r="K61" s="66"/>
      <c r="L61" s="66"/>
      <c r="M61" s="66"/>
      <c r="N61" s="66"/>
      <c r="O61" s="69"/>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row>
    <row r="62" spans="1:52" ht="19.95" customHeight="1" x14ac:dyDescent="0.35">
      <c r="A62" s="34"/>
      <c r="B62" s="65" t="str">
        <f ca="1"/>
        <v>T-035</v>
      </c>
      <c r="C62" s="66" t="str">
        <f ca="1"/>
        <v>Low</v>
      </c>
      <c r="D62" s="67">
        <f ca="1"/>
        <v>46305</v>
      </c>
      <c r="E62" s="66" t="str">
        <f ca="1"/>
        <v>Overdue</v>
      </c>
      <c r="F62" s="66" t="str">
        <f ca="1"/>
        <v>Sara Ali</v>
      </c>
      <c r="G62" s="66" t="str">
        <f ca="1"/>
        <v>OPS</v>
      </c>
      <c r="H62" s="68" t="str">
        <f ca="1"/>
        <v>Weekly team sync notes</v>
      </c>
      <c r="I62" s="66"/>
      <c r="J62" s="66"/>
      <c r="K62" s="66"/>
      <c r="L62" s="66"/>
      <c r="M62" s="66"/>
      <c r="N62" s="66"/>
      <c r="O62" s="69"/>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row>
    <row r="63" spans="1:52" ht="19.95" customHeight="1" x14ac:dyDescent="0.35">
      <c r="A63" s="34"/>
      <c r="B63" s="65" t="str">
        <f ca="1"/>
        <v>T-038</v>
      </c>
      <c r="C63" s="66" t="str">
        <f ca="1"/>
        <v>Normal</v>
      </c>
      <c r="D63" s="67">
        <f ca="1"/>
        <v>46307</v>
      </c>
      <c r="E63" s="66" t="str">
        <f ca="1"/>
        <v>Overdue</v>
      </c>
      <c r="F63" s="66" t="str">
        <f ca="1"/>
        <v>Jack Moore</v>
      </c>
      <c r="G63" s="66" t="str">
        <f ca="1"/>
        <v>OPS</v>
      </c>
      <c r="H63" s="68" t="str">
        <f ca="1"/>
        <v>Dashboard data clean-up</v>
      </c>
      <c r="I63" s="66"/>
      <c r="J63" s="66"/>
      <c r="K63" s="66"/>
      <c r="L63" s="66"/>
      <c r="M63" s="66"/>
      <c r="N63" s="66"/>
      <c r="O63" s="69"/>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row>
    <row r="64" spans="1:52" ht="19.95" customHeight="1" x14ac:dyDescent="0.35">
      <c r="A64" s="34"/>
      <c r="B64" s="65" t="str">
        <f ca="1"/>
        <v>T-040</v>
      </c>
      <c r="C64" s="66" t="str">
        <f ca="1"/>
        <v>High</v>
      </c>
      <c r="D64" s="67">
        <f ca="1"/>
        <v>46308</v>
      </c>
      <c r="E64" s="66" t="str">
        <f ca="1"/>
        <v>Overdue</v>
      </c>
      <c r="F64" s="66" t="str">
        <f ca="1"/>
        <v>Jack Moore</v>
      </c>
      <c r="G64" s="66" t="str">
        <f ca="1"/>
        <v>OPS</v>
      </c>
      <c r="H64" s="68" t="str">
        <f ca="1"/>
        <v>Customer churn analysis</v>
      </c>
      <c r="I64" s="66"/>
      <c r="J64" s="66"/>
      <c r="K64" s="66"/>
      <c r="L64" s="66"/>
      <c r="M64" s="66"/>
      <c r="N64" s="66"/>
      <c r="O64" s="69"/>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row>
    <row r="65" spans="1:52" ht="19.95" customHeight="1" x14ac:dyDescent="0.35">
      <c r="A65" s="34"/>
      <c r="B65" s="70" t="str">
        <f ca="1"/>
        <v>T-008</v>
      </c>
      <c r="C65" s="71" t="str">
        <f ca="1"/>
        <v>Low</v>
      </c>
      <c r="D65" s="72">
        <f ca="1"/>
        <v>46309</v>
      </c>
      <c r="E65" s="71" t="str">
        <f ca="1"/>
        <v>Overdue</v>
      </c>
      <c r="F65" s="71" t="str">
        <f ca="1"/>
        <v>Diego Santos</v>
      </c>
      <c r="G65" s="71" t="str">
        <f ca="1"/>
        <v>WEB</v>
      </c>
      <c r="H65" s="73" t="str">
        <f ca="1"/>
        <v>Optimize image loading</v>
      </c>
      <c r="I65" s="71"/>
      <c r="J65" s="71"/>
      <c r="K65" s="71"/>
      <c r="L65" s="71"/>
      <c r="M65" s="71"/>
      <c r="N65" s="71"/>
      <c r="O65" s="7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row>
    <row r="66" spans="1:52" x14ac:dyDescent="0.35">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row>
    <row r="67" spans="1:52" x14ac:dyDescent="0.35">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row>
    <row r="68" spans="1:52" ht="19.8" x14ac:dyDescent="0.45">
      <c r="A68" s="34"/>
      <c r="B68" s="46" t="s">
        <v>246</v>
      </c>
      <c r="C68" s="34"/>
      <c r="D68" s="34"/>
      <c r="E68" s="34"/>
      <c r="F68" s="34"/>
      <c r="G68" s="34"/>
      <c r="H68" s="34"/>
      <c r="I68" s="46" t="s">
        <v>247</v>
      </c>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row>
    <row r="69" spans="1:52" ht="19.95" customHeight="1" x14ac:dyDescent="0.35">
      <c r="A69" s="34"/>
      <c r="B69" s="51" t="s">
        <v>248</v>
      </c>
      <c r="C69" s="52" t="s">
        <v>249</v>
      </c>
      <c r="D69" s="52" t="s">
        <v>250</v>
      </c>
      <c r="E69" s="52" t="s">
        <v>234</v>
      </c>
      <c r="F69" s="52" t="s">
        <v>244</v>
      </c>
      <c r="G69" s="53"/>
      <c r="H69" s="53"/>
      <c r="I69" s="51" t="s">
        <v>251</v>
      </c>
      <c r="J69" s="78" t="e" cm="1" vm="1">
        <f t="array" aca="1" ref="J69" ca="1">UPPER(TRANSPOSE(lstStatus))</f>
        <v>#VALUE!</v>
      </c>
      <c r="K69" s="78"/>
      <c r="L69" s="78"/>
      <c r="M69" s="78"/>
      <c r="N69" s="78"/>
      <c r="O69" s="80" t="s">
        <v>232</v>
      </c>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row>
    <row r="70" spans="1:52" ht="19.95" customHeight="1" x14ac:dyDescent="0.35">
      <c r="A70" s="34"/>
      <c r="B70" s="50" t="str" cm="1">
        <f t="array" aca="1" ref="B70:F76" ca="1">IFERROR(_xlfn.HSTACK(tblProjects[Health],tblProjects[Progress],tblProjects[Done]&amp;" / "&amp;tblProjects[Tasks],tblProjects[Overdue],tblProjects[Project]),"")</f>
        <v>⛔ Off Track</v>
      </c>
      <c r="C70" s="75">
        <f ca="1"/>
        <v>0</v>
      </c>
      <c r="D70" s="48" t="str">
        <f ca="1"/>
        <v>0 / 9</v>
      </c>
      <c r="E70" s="48">
        <f ca="1"/>
        <v>3</v>
      </c>
      <c r="F70" s="49" t="str">
        <f ca="1"/>
        <v>Website Redesign</v>
      </c>
      <c r="G70" s="48"/>
      <c r="H70" s="48"/>
      <c r="I70" s="50" t="str" cm="1">
        <f t="array" ref="I70:I79">lstMembers</f>
        <v>Sara Ali</v>
      </c>
      <c r="J70" s="77" t="e" cm="1" vm="2">
        <f t="array" aca="1" ref="J70" ca="1">COUNTIFS(tblTasks[Owner],_xlfn.ANCHORARRAY(I70),tblTasks[Status],TRANSPOSE(lstStatus),tblTasks[Visible],1)</f>
        <v>#VALUE!</v>
      </c>
      <c r="K70" s="77"/>
      <c r="L70" s="77"/>
      <c r="M70" s="77"/>
      <c r="N70" s="77"/>
      <c r="O70" s="81" cm="1">
        <f t="array" ref="O70:O79">COUNTIFS(tblTasks[Owner],_xlfn.ANCHORARRAY(I70),tblTasks[Status],"&lt;&gt;"&amp;DoneStatus,tblTasks[Visible],1)</f>
        <v>4</v>
      </c>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row>
    <row r="71" spans="1:52" ht="19.95" customHeight="1" x14ac:dyDescent="0.35">
      <c r="A71" s="34"/>
      <c r="B71" s="50" t="str">
        <f ca="1"/>
        <v>⛔ Off Track</v>
      </c>
      <c r="C71" s="75">
        <f ca="1"/>
        <v>0</v>
      </c>
      <c r="D71" s="48" t="str">
        <f ca="1"/>
        <v>0 / 8</v>
      </c>
      <c r="E71" s="48">
        <f ca="1"/>
        <v>3</v>
      </c>
      <c r="F71" s="49" t="str">
        <f ca="1"/>
        <v>Q4 Marketing Campaign</v>
      </c>
      <c r="G71" s="48"/>
      <c r="H71" s="48"/>
      <c r="I71" s="50" t="str">
        <v>Omar Haddad</v>
      </c>
      <c r="J71" s="77"/>
      <c r="K71" s="77"/>
      <c r="L71" s="77"/>
      <c r="M71" s="77"/>
      <c r="N71" s="77"/>
      <c r="O71" s="81">
        <v>2</v>
      </c>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row>
    <row r="72" spans="1:52" ht="19.95" customHeight="1" x14ac:dyDescent="0.35">
      <c r="A72" s="34"/>
      <c r="B72" s="50" t="str">
        <f ca="1"/>
        <v>⛔ Off Track</v>
      </c>
      <c r="C72" s="75">
        <f ca="1"/>
        <v>0</v>
      </c>
      <c r="D72" s="48" t="str">
        <f ca="1"/>
        <v>0 / 8</v>
      </c>
      <c r="E72" s="48">
        <f ca="1"/>
        <v>3</v>
      </c>
      <c r="F72" s="49" t="str">
        <f ca="1"/>
        <v>Mobile App v2</v>
      </c>
      <c r="G72" s="48"/>
      <c r="H72" s="48"/>
      <c r="I72" s="50" t="str">
        <v>Lina Park</v>
      </c>
      <c r="J72" s="77"/>
      <c r="K72" s="77"/>
      <c r="L72" s="77"/>
      <c r="M72" s="77"/>
      <c r="N72" s="77"/>
      <c r="O72" s="81">
        <v>3</v>
      </c>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row>
    <row r="73" spans="1:52" ht="19.95" customHeight="1" x14ac:dyDescent="0.35">
      <c r="A73" s="34"/>
      <c r="B73" s="50" t="str">
        <f ca="1"/>
        <v>⚠ At Risk</v>
      </c>
      <c r="C73" s="75">
        <f ca="1"/>
        <v>0</v>
      </c>
      <c r="D73" s="48" t="str">
        <f ca="1"/>
        <v>0 / 6</v>
      </c>
      <c r="E73" s="48">
        <f ca="1"/>
        <v>1</v>
      </c>
      <c r="F73" s="49" t="str">
        <f ca="1"/>
        <v>Customer Onboarding</v>
      </c>
      <c r="G73" s="48"/>
      <c r="H73" s="48"/>
      <c r="I73" s="50" t="str">
        <v>Jack Moore</v>
      </c>
      <c r="J73" s="77"/>
      <c r="K73" s="77"/>
      <c r="L73" s="77"/>
      <c r="M73" s="77"/>
      <c r="N73" s="77"/>
      <c r="O73" s="81">
        <v>5</v>
      </c>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row>
    <row r="74" spans="1:52" ht="19.95" customHeight="1" x14ac:dyDescent="0.35">
      <c r="A74" s="34"/>
      <c r="B74" s="50" t="str">
        <f ca="1"/>
        <v>⛔ Off Track</v>
      </c>
      <c r="C74" s="75">
        <f ca="1"/>
        <v>0</v>
      </c>
      <c r="D74" s="48" t="str">
        <f ca="1"/>
        <v>0 / 6</v>
      </c>
      <c r="E74" s="48">
        <f ca="1"/>
        <v>3</v>
      </c>
      <c r="F74" s="49" t="str">
        <f ca="1"/>
        <v>General / Ops</v>
      </c>
      <c r="G74" s="48"/>
      <c r="H74" s="48"/>
      <c r="I74" s="50" t="str">
        <v>Maya Chen</v>
      </c>
      <c r="J74" s="77"/>
      <c r="K74" s="77"/>
      <c r="L74" s="77"/>
      <c r="M74" s="77"/>
      <c r="N74" s="77"/>
      <c r="O74" s="81">
        <v>4</v>
      </c>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row>
    <row r="75" spans="1:52" ht="19.95" customHeight="1" x14ac:dyDescent="0.35">
      <c r="A75" s="34"/>
      <c r="B75" s="50" t="str">
        <f ca="1"/>
        <v>✅ On Track</v>
      </c>
      <c r="C75" s="75">
        <f ca="1"/>
        <v>0</v>
      </c>
      <c r="D75" s="48" t="str">
        <f ca="1"/>
        <v>0 / 3</v>
      </c>
      <c r="E75" s="48">
        <f ca="1"/>
        <v>0</v>
      </c>
      <c r="F75" s="49" t="str">
        <f ca="1"/>
        <v>Annual Report 2026</v>
      </c>
      <c r="G75" s="48"/>
      <c r="H75" s="48"/>
      <c r="I75" s="50" t="str">
        <v>Ravi Kumar</v>
      </c>
      <c r="J75" s="77"/>
      <c r="K75" s="77"/>
      <c r="L75" s="77"/>
      <c r="M75" s="77"/>
      <c r="N75" s="77"/>
      <c r="O75" s="81">
        <v>3</v>
      </c>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row>
    <row r="76" spans="1:52" ht="19.95" customHeight="1" x14ac:dyDescent="0.35">
      <c r="A76" s="34"/>
      <c r="B76" s="50" t="str">
        <f ca="1"/>
        <v>✅ On Track</v>
      </c>
      <c r="C76" s="75">
        <f ca="1"/>
        <v>0</v>
      </c>
      <c r="D76" s="48" t="str">
        <f ca="1"/>
        <v>0 / 1</v>
      </c>
      <c r="E76" s="48">
        <f ca="1"/>
        <v>0</v>
      </c>
      <c r="F76" s="49" t="str">
        <f ca="1"/>
        <v>ExCon</v>
      </c>
      <c r="G76" s="48"/>
      <c r="H76" s="48"/>
      <c r="I76" s="50" t="str">
        <v>Nora Fischer</v>
      </c>
      <c r="J76" s="77"/>
      <c r="K76" s="77"/>
      <c r="L76" s="77"/>
      <c r="M76" s="77"/>
      <c r="N76" s="77"/>
      <c r="O76" s="81">
        <v>6</v>
      </c>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row>
    <row r="77" spans="1:52" ht="19.95" customHeight="1" x14ac:dyDescent="0.35">
      <c r="A77" s="34"/>
      <c r="B77" s="50"/>
      <c r="C77" s="75"/>
      <c r="D77" s="48"/>
      <c r="E77" s="48"/>
      <c r="F77" s="49"/>
      <c r="G77" s="48"/>
      <c r="H77" s="48"/>
      <c r="I77" s="50" t="str">
        <v>Diego Santos</v>
      </c>
      <c r="J77" s="77"/>
      <c r="K77" s="77"/>
      <c r="L77" s="77"/>
      <c r="M77" s="77"/>
      <c r="N77" s="77"/>
      <c r="O77" s="81">
        <v>4</v>
      </c>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row>
    <row r="78" spans="1:52" ht="19.95" customHeight="1" x14ac:dyDescent="0.35">
      <c r="A78" s="34"/>
      <c r="B78" s="50"/>
      <c r="C78" s="75"/>
      <c r="D78" s="48"/>
      <c r="E78" s="48"/>
      <c r="F78" s="49"/>
      <c r="G78" s="48"/>
      <c r="H78" s="48"/>
      <c r="I78" s="50" t="str">
        <v>Aisha Bello</v>
      </c>
      <c r="J78" s="77"/>
      <c r="K78" s="77"/>
      <c r="L78" s="77"/>
      <c r="M78" s="77"/>
      <c r="N78" s="77"/>
      <c r="O78" s="81">
        <v>6</v>
      </c>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row>
    <row r="79" spans="1:52" ht="19.95" customHeight="1" x14ac:dyDescent="0.35">
      <c r="A79" s="34"/>
      <c r="B79" s="50"/>
      <c r="C79" s="75"/>
      <c r="D79" s="48"/>
      <c r="E79" s="48"/>
      <c r="F79" s="49"/>
      <c r="G79" s="48"/>
      <c r="H79" s="48"/>
      <c r="I79" s="50" t="str">
        <v>Tom Becker</v>
      </c>
      <c r="J79" s="77"/>
      <c r="K79" s="77"/>
      <c r="L79" s="77"/>
      <c r="M79" s="77"/>
      <c r="N79" s="77"/>
      <c r="O79" s="81">
        <v>4</v>
      </c>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row>
    <row r="80" spans="1:52" ht="19.95" customHeight="1" x14ac:dyDescent="0.35">
      <c r="A80" s="34"/>
      <c r="B80" s="50"/>
      <c r="C80" s="75"/>
      <c r="D80" s="48"/>
      <c r="E80" s="48"/>
      <c r="F80" s="49"/>
      <c r="G80" s="48"/>
      <c r="H80" s="48"/>
      <c r="I80" s="50"/>
      <c r="J80" s="77"/>
      <c r="K80" s="77"/>
      <c r="L80" s="77"/>
      <c r="M80" s="77"/>
      <c r="N80" s="77"/>
      <c r="O80" s="81"/>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row>
    <row r="81" spans="1:52" ht="19.95" customHeight="1" x14ac:dyDescent="0.35">
      <c r="A81" s="34"/>
      <c r="B81" s="50"/>
      <c r="C81" s="75"/>
      <c r="D81" s="48"/>
      <c r="E81" s="48"/>
      <c r="F81" s="49"/>
      <c r="G81" s="48"/>
      <c r="H81" s="48"/>
      <c r="I81" s="50"/>
      <c r="J81" s="77"/>
      <c r="K81" s="77"/>
      <c r="L81" s="77"/>
      <c r="M81" s="77"/>
      <c r="N81" s="77"/>
      <c r="O81" s="81"/>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row>
    <row r="82" spans="1:52" ht="19.95" customHeight="1" x14ac:dyDescent="0.35">
      <c r="A82" s="34"/>
      <c r="B82" s="50"/>
      <c r="C82" s="75"/>
      <c r="D82" s="48"/>
      <c r="E82" s="48"/>
      <c r="F82" s="49"/>
      <c r="G82" s="48"/>
      <c r="H82" s="48"/>
      <c r="I82" s="50"/>
      <c r="J82" s="77"/>
      <c r="K82" s="77"/>
      <c r="L82" s="77"/>
      <c r="M82" s="77"/>
      <c r="N82" s="77"/>
      <c r="O82" s="81"/>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row>
    <row r="83" spans="1:52" ht="19.95" customHeight="1" x14ac:dyDescent="0.35">
      <c r="A83" s="34"/>
      <c r="B83" s="50"/>
      <c r="C83" s="75"/>
      <c r="D83" s="48"/>
      <c r="E83" s="48"/>
      <c r="F83" s="49"/>
      <c r="G83" s="48"/>
      <c r="H83" s="48"/>
      <c r="I83" s="50"/>
      <c r="J83" s="77"/>
      <c r="K83" s="77"/>
      <c r="L83" s="77"/>
      <c r="M83" s="77"/>
      <c r="N83" s="77"/>
      <c r="O83" s="81"/>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row>
    <row r="84" spans="1:52" ht="19.95" customHeight="1" x14ac:dyDescent="0.35">
      <c r="A84" s="34"/>
      <c r="B84" s="54"/>
      <c r="C84" s="76"/>
      <c r="D84" s="55"/>
      <c r="E84" s="55"/>
      <c r="F84" s="56"/>
      <c r="G84" s="55"/>
      <c r="H84" s="55"/>
      <c r="I84" s="54"/>
      <c r="J84" s="79"/>
      <c r="K84" s="79"/>
      <c r="L84" s="79"/>
      <c r="M84" s="79"/>
      <c r="N84" s="79"/>
      <c r="O84" s="82"/>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row>
    <row r="85" spans="1:52" x14ac:dyDescent="0.3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row>
    <row r="86" spans="1:52" x14ac:dyDescent="0.35">
      <c r="A86" s="34"/>
      <c r="B86" s="83" t="s">
        <v>252</v>
      </c>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row>
    <row r="87" spans="1:52" x14ac:dyDescent="0.35">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row>
    <row r="88" spans="1:52" x14ac:dyDescent="0.35">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row>
    <row r="89" spans="1:52" x14ac:dyDescent="0.35">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row>
    <row r="90" spans="1:52" x14ac:dyDescent="0.35">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row>
    <row r="91" spans="1:52" x14ac:dyDescent="0.35">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row>
    <row r="92" spans="1:52" x14ac:dyDescent="0.35">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row>
    <row r="93" spans="1:52" x14ac:dyDescent="0.35">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row>
    <row r="94" spans="1:52" x14ac:dyDescent="0.35">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row>
    <row r="95" spans="1:52" x14ac:dyDescent="0.3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row>
    <row r="96" spans="1:52" x14ac:dyDescent="0.35">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row>
    <row r="97" spans="1:52" x14ac:dyDescent="0.35">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row>
    <row r="98" spans="1:52" x14ac:dyDescent="0.35">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row>
    <row r="99" spans="1:52" x14ac:dyDescent="0.35">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row>
    <row r="100" spans="1:52" x14ac:dyDescent="0.35">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row>
    <row r="101" spans="1:52" x14ac:dyDescent="0.35">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row>
    <row r="102" spans="1:52" x14ac:dyDescent="0.35">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row>
    <row r="103" spans="1:52" x14ac:dyDescent="0.35">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row>
    <row r="104" spans="1:52" x14ac:dyDescent="0.35">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row>
    <row r="105" spans="1:52" x14ac:dyDescent="0.3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row>
    <row r="106" spans="1:52" x14ac:dyDescent="0.35">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row>
    <row r="107" spans="1:52" x14ac:dyDescent="0.35">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row>
    <row r="108" spans="1:52" x14ac:dyDescent="0.35">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row>
    <row r="109" spans="1:52" x14ac:dyDescent="0.35">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row>
    <row r="110" spans="1:52" x14ac:dyDescent="0.35">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row>
    <row r="111" spans="1:52" x14ac:dyDescent="0.35">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row>
    <row r="112" spans="1:52" x14ac:dyDescent="0.35">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row>
    <row r="113" spans="1:52" x14ac:dyDescent="0.35">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row>
    <row r="114" spans="1:52" x14ac:dyDescent="0.35">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row>
    <row r="115" spans="1:52" x14ac:dyDescent="0.3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row>
    <row r="116" spans="1:52" x14ac:dyDescent="0.35">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row>
    <row r="117" spans="1:52" x14ac:dyDescent="0.35">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row>
    <row r="118" spans="1:52" x14ac:dyDescent="0.35">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row>
    <row r="119" spans="1:52" x14ac:dyDescent="0.35">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row>
    <row r="120" spans="1:52" x14ac:dyDescent="0.35">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row>
    <row r="121" spans="1:52" x14ac:dyDescent="0.35">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row>
    <row r="122" spans="1:52" x14ac:dyDescent="0.35">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row>
    <row r="123" spans="1:52" x14ac:dyDescent="0.35">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row>
    <row r="124" spans="1:52" x14ac:dyDescent="0.35">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row>
    <row r="125" spans="1:52" x14ac:dyDescent="0.3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row>
    <row r="126" spans="1:52" x14ac:dyDescent="0.35">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row>
    <row r="127" spans="1:52" x14ac:dyDescent="0.35">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row>
    <row r="128" spans="1:52" x14ac:dyDescent="0.35">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row>
    <row r="129" spans="1:52" x14ac:dyDescent="0.35">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row>
    <row r="130" spans="1:52" x14ac:dyDescent="0.35">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row>
    <row r="131" spans="1:52" x14ac:dyDescent="0.35">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row>
    <row r="132" spans="1:52" x14ac:dyDescent="0.35">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row>
    <row r="133" spans="1:52" x14ac:dyDescent="0.35">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row>
    <row r="134" spans="1:52" x14ac:dyDescent="0.35">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row>
    <row r="135" spans="1:52" x14ac:dyDescent="0.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row>
    <row r="136" spans="1:52" x14ac:dyDescent="0.35">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row>
    <row r="137" spans="1:52" x14ac:dyDescent="0.35">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row>
    <row r="138" spans="1:52" x14ac:dyDescent="0.35">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row>
    <row r="139" spans="1:52" x14ac:dyDescent="0.35">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row>
    <row r="140" spans="1:52" x14ac:dyDescent="0.35">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row>
    <row r="141" spans="1:52" x14ac:dyDescent="0.35">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row>
    <row r="142" spans="1:52" x14ac:dyDescent="0.35">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row>
    <row r="143" spans="1:52" x14ac:dyDescent="0.35">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row>
    <row r="144" spans="1:52" x14ac:dyDescent="0.35">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row>
    <row r="145" spans="1:52" x14ac:dyDescent="0.3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row>
    <row r="146" spans="1:52" x14ac:dyDescent="0.35">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row>
    <row r="147" spans="1:52" x14ac:dyDescent="0.35">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row>
    <row r="148" spans="1:52" x14ac:dyDescent="0.35">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row>
    <row r="149" spans="1:52" x14ac:dyDescent="0.35">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row>
    <row r="150" spans="1:52" x14ac:dyDescent="0.35">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row>
    <row r="151" spans="1:52" x14ac:dyDescent="0.35">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row>
    <row r="152" spans="1:52" x14ac:dyDescent="0.35">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row>
    <row r="153" spans="1:52" x14ac:dyDescent="0.35">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row>
    <row r="154" spans="1:52" x14ac:dyDescent="0.35">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row>
    <row r="155" spans="1:52" x14ac:dyDescent="0.3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row>
    <row r="156" spans="1:52" x14ac:dyDescent="0.35">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row>
    <row r="157" spans="1:52" x14ac:dyDescent="0.35">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row>
    <row r="158" spans="1:52" x14ac:dyDescent="0.35">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row>
    <row r="159" spans="1:52" x14ac:dyDescent="0.35">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row>
    <row r="160" spans="1:52" x14ac:dyDescent="0.35">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row>
    <row r="161" spans="1:52" x14ac:dyDescent="0.35">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row>
    <row r="162" spans="1:52" x14ac:dyDescent="0.35">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row>
    <row r="163" spans="1:52" x14ac:dyDescent="0.35">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row>
    <row r="164" spans="1:52" x14ac:dyDescent="0.35">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row>
    <row r="165" spans="1:52" x14ac:dyDescent="0.3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row>
    <row r="166" spans="1:52" x14ac:dyDescent="0.35">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row>
    <row r="167" spans="1:52" x14ac:dyDescent="0.35">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row>
    <row r="168" spans="1:52" x14ac:dyDescent="0.35">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row>
    <row r="169" spans="1:52" x14ac:dyDescent="0.35">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row>
    <row r="170" spans="1:52" x14ac:dyDescent="0.35">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row>
    <row r="171" spans="1:52" x14ac:dyDescent="0.35">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row>
    <row r="172" spans="1:52" x14ac:dyDescent="0.35">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row>
    <row r="173" spans="1:52" x14ac:dyDescent="0.35">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row>
    <row r="174" spans="1:52" x14ac:dyDescent="0.35">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row>
    <row r="175" spans="1:52" x14ac:dyDescent="0.3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row>
    <row r="176" spans="1:52" x14ac:dyDescent="0.35">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row>
    <row r="177" spans="1:52" x14ac:dyDescent="0.35">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row>
    <row r="178" spans="1:52" x14ac:dyDescent="0.35">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row>
    <row r="179" spans="1:52" x14ac:dyDescent="0.35">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row>
    <row r="180" spans="1:52" x14ac:dyDescent="0.35">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row>
    <row r="181" spans="1:52" x14ac:dyDescent="0.35">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row>
    <row r="182" spans="1:52" x14ac:dyDescent="0.35">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row>
    <row r="183" spans="1:52" x14ac:dyDescent="0.35">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row>
    <row r="184" spans="1:52" x14ac:dyDescent="0.35">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row>
    <row r="185" spans="1:52" x14ac:dyDescent="0.3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row>
    <row r="186" spans="1:52" x14ac:dyDescent="0.35">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row>
    <row r="187" spans="1:52" x14ac:dyDescent="0.35">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row>
    <row r="188" spans="1:52" x14ac:dyDescent="0.35">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row>
    <row r="189" spans="1:52" x14ac:dyDescent="0.35">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row>
    <row r="190" spans="1:52" x14ac:dyDescent="0.35">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row>
    <row r="191" spans="1:52" x14ac:dyDescent="0.35">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row>
    <row r="192" spans="1:52" x14ac:dyDescent="0.35">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row>
    <row r="193" spans="1:52" x14ac:dyDescent="0.35">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row>
    <row r="194" spans="1:52" x14ac:dyDescent="0.35">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row>
    <row r="195" spans="1:52" x14ac:dyDescent="0.3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row>
    <row r="196" spans="1:52" x14ac:dyDescent="0.35">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row>
    <row r="197" spans="1:52" x14ac:dyDescent="0.35">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row>
    <row r="198" spans="1:52" x14ac:dyDescent="0.35">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row>
    <row r="199" spans="1:52" x14ac:dyDescent="0.35">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row>
    <row r="200" spans="1:52" x14ac:dyDescent="0.35">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row>
    <row r="201" spans="1:52" x14ac:dyDescent="0.35">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row>
    <row r="202" spans="1:52" x14ac:dyDescent="0.35">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row>
    <row r="203" spans="1:52" x14ac:dyDescent="0.35">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row>
    <row r="204" spans="1:52" x14ac:dyDescent="0.35">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row>
    <row r="205" spans="1:52" x14ac:dyDescent="0.3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row>
    <row r="206" spans="1:52" x14ac:dyDescent="0.35">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row>
    <row r="207" spans="1:52" x14ac:dyDescent="0.35">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c r="AU207" s="34"/>
      <c r="AV207" s="34"/>
      <c r="AW207" s="34"/>
      <c r="AX207" s="34"/>
      <c r="AY207" s="34"/>
      <c r="AZ207" s="34"/>
    </row>
    <row r="208" spans="1:52" x14ac:dyDescent="0.35">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row>
    <row r="209" spans="1:52" x14ac:dyDescent="0.35">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row>
    <row r="210" spans="1:52" x14ac:dyDescent="0.35">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row>
    <row r="211" spans="1:52" x14ac:dyDescent="0.35">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row>
    <row r="212" spans="1:52" x14ac:dyDescent="0.35">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row>
    <row r="213" spans="1:52" x14ac:dyDescent="0.35">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row>
    <row r="214" spans="1:52" x14ac:dyDescent="0.35">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c r="AU214" s="34"/>
      <c r="AV214" s="34"/>
      <c r="AW214" s="34"/>
      <c r="AX214" s="34"/>
      <c r="AY214" s="34"/>
      <c r="AZ214" s="34"/>
    </row>
    <row r="215" spans="1:52" x14ac:dyDescent="0.3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c r="AU215" s="34"/>
      <c r="AV215" s="34"/>
      <c r="AW215" s="34"/>
      <c r="AX215" s="34"/>
      <c r="AY215" s="34"/>
      <c r="AZ215" s="34"/>
    </row>
    <row r="216" spans="1:52" x14ac:dyDescent="0.35">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c r="AU216" s="34"/>
      <c r="AV216" s="34"/>
      <c r="AW216" s="34"/>
      <c r="AX216" s="34"/>
      <c r="AY216" s="34"/>
      <c r="AZ216" s="34"/>
    </row>
    <row r="217" spans="1:52" x14ac:dyDescent="0.35">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row>
    <row r="218" spans="1:52" x14ac:dyDescent="0.35">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row>
    <row r="219" spans="1:52" x14ac:dyDescent="0.35">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row>
    <row r="220" spans="1:52" x14ac:dyDescent="0.35">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row>
    <row r="221" spans="1:52" x14ac:dyDescent="0.35">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row>
    <row r="222" spans="1:52" x14ac:dyDescent="0.35">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row>
    <row r="223" spans="1:52" x14ac:dyDescent="0.35">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row>
    <row r="224" spans="1:52" x14ac:dyDescent="0.35">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34"/>
      <c r="AU224" s="34"/>
      <c r="AV224" s="34"/>
      <c r="AW224" s="34"/>
      <c r="AX224" s="34"/>
      <c r="AY224" s="34"/>
      <c r="AZ224" s="34"/>
    </row>
    <row r="225" spans="1:52" x14ac:dyDescent="0.3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row>
    <row r="226" spans="1:52" x14ac:dyDescent="0.35">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row>
    <row r="227" spans="1:52" x14ac:dyDescent="0.35">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row>
    <row r="228" spans="1:52" x14ac:dyDescent="0.35">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row>
    <row r="229" spans="1:52" x14ac:dyDescent="0.35">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34"/>
      <c r="AU229" s="34"/>
      <c r="AV229" s="34"/>
      <c r="AW229" s="34"/>
      <c r="AX229" s="34"/>
      <c r="AY229" s="34"/>
      <c r="AZ229" s="34"/>
    </row>
    <row r="230" spans="1:52" x14ac:dyDescent="0.35">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34"/>
      <c r="AU230" s="34"/>
      <c r="AV230" s="34"/>
      <c r="AW230" s="34"/>
      <c r="AX230" s="34"/>
      <c r="AY230" s="34"/>
      <c r="AZ230" s="34"/>
    </row>
    <row r="231" spans="1:52" x14ac:dyDescent="0.35">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row>
    <row r="232" spans="1:52" x14ac:dyDescent="0.35">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row>
    <row r="233" spans="1:52" x14ac:dyDescent="0.35">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c r="AU233" s="34"/>
      <c r="AV233" s="34"/>
      <c r="AW233" s="34"/>
      <c r="AX233" s="34"/>
      <c r="AY233" s="34"/>
      <c r="AZ233" s="34"/>
    </row>
    <row r="234" spans="1:52" x14ac:dyDescent="0.35">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4"/>
      <c r="AW234" s="34"/>
      <c r="AX234" s="34"/>
      <c r="AY234" s="34"/>
      <c r="AZ234" s="34"/>
    </row>
    <row r="235" spans="1:52" x14ac:dyDescent="0.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34"/>
      <c r="AU235" s="34"/>
      <c r="AV235" s="34"/>
      <c r="AW235" s="34"/>
      <c r="AX235" s="34"/>
      <c r="AY235" s="34"/>
      <c r="AZ235" s="34"/>
    </row>
    <row r="236" spans="1:52" x14ac:dyDescent="0.35">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c r="AU236" s="34"/>
      <c r="AV236" s="34"/>
      <c r="AW236" s="34"/>
      <c r="AX236" s="34"/>
      <c r="AY236" s="34"/>
      <c r="AZ236" s="34"/>
    </row>
    <row r="237" spans="1:52" x14ac:dyDescent="0.35">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c r="AS237" s="34"/>
      <c r="AT237" s="34"/>
      <c r="AU237" s="34"/>
      <c r="AV237" s="34"/>
      <c r="AW237" s="34"/>
      <c r="AX237" s="34"/>
      <c r="AY237" s="34"/>
      <c r="AZ237" s="34"/>
    </row>
    <row r="238" spans="1:52" x14ac:dyDescent="0.35">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row>
    <row r="239" spans="1:52" x14ac:dyDescent="0.35">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c r="AU239" s="34"/>
      <c r="AV239" s="34"/>
      <c r="AW239" s="34"/>
      <c r="AX239" s="34"/>
      <c r="AY239" s="34"/>
      <c r="AZ239" s="34"/>
    </row>
    <row r="240" spans="1:52" x14ac:dyDescent="0.3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row>
    <row r="241" spans="1:52" x14ac:dyDescent="0.3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row>
    <row r="242" spans="1:52" x14ac:dyDescent="0.3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row>
    <row r="243" spans="1:52" x14ac:dyDescent="0.3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row>
    <row r="244" spans="1:52" x14ac:dyDescent="0.3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row>
    <row r="245" spans="1:52" x14ac:dyDescent="0.3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c r="AW245" s="34"/>
      <c r="AX245" s="34"/>
      <c r="AY245" s="34"/>
      <c r="AZ245" s="34"/>
    </row>
    <row r="246" spans="1:52" x14ac:dyDescent="0.3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c r="AU246" s="34"/>
      <c r="AV246" s="34"/>
      <c r="AW246" s="34"/>
      <c r="AX246" s="34"/>
      <c r="AY246" s="34"/>
      <c r="AZ246" s="34"/>
    </row>
    <row r="247" spans="1:52" x14ac:dyDescent="0.3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34"/>
      <c r="AU247" s="34"/>
      <c r="AV247" s="34"/>
      <c r="AW247" s="34"/>
      <c r="AX247" s="34"/>
      <c r="AY247" s="34"/>
      <c r="AZ247" s="34"/>
    </row>
    <row r="248" spans="1:52" x14ac:dyDescent="0.3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34"/>
      <c r="AU248" s="34"/>
      <c r="AV248" s="34"/>
      <c r="AW248" s="34"/>
      <c r="AX248" s="34"/>
      <c r="AY248" s="34"/>
      <c r="AZ248" s="34"/>
    </row>
    <row r="249" spans="1:52" x14ac:dyDescent="0.3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row>
    <row r="250" spans="1:52" x14ac:dyDescent="0.35">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row>
    <row r="251" spans="1:52" x14ac:dyDescent="0.35">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row>
    <row r="252" spans="1:52" x14ac:dyDescent="0.35">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row>
    <row r="253" spans="1:52" x14ac:dyDescent="0.35">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row>
    <row r="254" spans="1:52" x14ac:dyDescent="0.35">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34"/>
      <c r="AU254" s="34"/>
      <c r="AV254" s="34"/>
      <c r="AW254" s="34"/>
      <c r="AX254" s="34"/>
      <c r="AY254" s="34"/>
      <c r="AZ254" s="34"/>
    </row>
    <row r="255" spans="1:52" x14ac:dyDescent="0.3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row>
    <row r="256" spans="1:52" x14ac:dyDescent="0.35">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row>
    <row r="257" spans="1:52" x14ac:dyDescent="0.35">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row>
    <row r="258" spans="1:52" x14ac:dyDescent="0.35">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34"/>
      <c r="AW258" s="34"/>
      <c r="AX258" s="34"/>
      <c r="AY258" s="34"/>
      <c r="AZ258" s="34"/>
    </row>
    <row r="259" spans="1:52" x14ac:dyDescent="0.35">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34"/>
      <c r="AW259" s="34"/>
      <c r="AX259" s="34"/>
      <c r="AY259" s="34"/>
      <c r="AZ259" s="34"/>
    </row>
    <row r="260" spans="1:52" x14ac:dyDescent="0.35">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34"/>
      <c r="AW260" s="34"/>
      <c r="AX260" s="34"/>
      <c r="AY260" s="34"/>
      <c r="AZ260" s="34"/>
    </row>
    <row r="261" spans="1:52" x14ac:dyDescent="0.35">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row>
    <row r="262" spans="1:52" x14ac:dyDescent="0.35">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row>
    <row r="263" spans="1:52" x14ac:dyDescent="0.35">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34"/>
      <c r="AW263" s="34"/>
      <c r="AX263" s="34"/>
      <c r="AY263" s="34"/>
      <c r="AZ263" s="34"/>
    </row>
    <row r="264" spans="1:52" x14ac:dyDescent="0.35">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row>
    <row r="265" spans="1:52" x14ac:dyDescent="0.3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row>
    <row r="266" spans="1:52" x14ac:dyDescent="0.35">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row>
    <row r="267" spans="1:52" x14ac:dyDescent="0.35">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row>
    <row r="268" spans="1:52" x14ac:dyDescent="0.35">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row>
    <row r="269" spans="1:52" x14ac:dyDescent="0.35">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row>
    <row r="270" spans="1:52" x14ac:dyDescent="0.35">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row>
    <row r="271" spans="1:52" x14ac:dyDescent="0.35">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row>
    <row r="272" spans="1:52" x14ac:dyDescent="0.35">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row>
    <row r="273" spans="1:52" x14ac:dyDescent="0.35">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4"/>
      <c r="AW273" s="34"/>
      <c r="AX273" s="34"/>
      <c r="AY273" s="34"/>
      <c r="AZ273" s="34"/>
    </row>
    <row r="274" spans="1:52" x14ac:dyDescent="0.35">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34"/>
      <c r="AW274" s="34"/>
      <c r="AX274" s="34"/>
      <c r="AY274" s="34"/>
      <c r="AZ274" s="34"/>
    </row>
    <row r="275" spans="1:52" x14ac:dyDescent="0.3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row>
    <row r="276" spans="1:52" x14ac:dyDescent="0.35">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row>
    <row r="277" spans="1:52" x14ac:dyDescent="0.35">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34"/>
      <c r="AW277" s="34"/>
      <c r="AX277" s="34"/>
      <c r="AY277" s="34"/>
      <c r="AZ277" s="34"/>
    </row>
    <row r="278" spans="1:52" x14ac:dyDescent="0.35">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c r="AU278" s="34"/>
      <c r="AV278" s="34"/>
      <c r="AW278" s="34"/>
      <c r="AX278" s="34"/>
      <c r="AY278" s="34"/>
      <c r="AZ278" s="34"/>
    </row>
    <row r="279" spans="1:52" x14ac:dyDescent="0.35">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row>
    <row r="280" spans="1:52" x14ac:dyDescent="0.35">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c r="AU280" s="34"/>
      <c r="AV280" s="34"/>
      <c r="AW280" s="34"/>
      <c r="AX280" s="34"/>
      <c r="AY280" s="34"/>
      <c r="AZ280" s="34"/>
    </row>
    <row r="281" spans="1:52" x14ac:dyDescent="0.35">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34"/>
      <c r="AW281" s="34"/>
      <c r="AX281" s="34"/>
      <c r="AY281" s="34"/>
      <c r="AZ281" s="34"/>
    </row>
    <row r="282" spans="1:52" x14ac:dyDescent="0.35">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34"/>
      <c r="AW282" s="34"/>
      <c r="AX282" s="34"/>
      <c r="AY282" s="34"/>
      <c r="AZ282" s="34"/>
    </row>
    <row r="283" spans="1:52" x14ac:dyDescent="0.35">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row>
    <row r="284" spans="1:52" x14ac:dyDescent="0.35">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34"/>
      <c r="AW284" s="34"/>
      <c r="AX284" s="34"/>
      <c r="AY284" s="34"/>
      <c r="AZ284" s="34"/>
    </row>
    <row r="285" spans="1:52" x14ac:dyDescent="0.3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row>
    <row r="286" spans="1:52" x14ac:dyDescent="0.35">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row>
    <row r="287" spans="1:52" x14ac:dyDescent="0.35">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row>
    <row r="288" spans="1:52" x14ac:dyDescent="0.35">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34"/>
      <c r="AW288" s="34"/>
      <c r="AX288" s="34"/>
      <c r="AY288" s="34"/>
      <c r="AZ288" s="34"/>
    </row>
    <row r="289" spans="1:52" x14ac:dyDescent="0.35">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34"/>
      <c r="AW289" s="34"/>
      <c r="AX289" s="34"/>
      <c r="AY289" s="34"/>
      <c r="AZ289" s="34"/>
    </row>
    <row r="290" spans="1:52" x14ac:dyDescent="0.35">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row>
    <row r="291" spans="1:52" x14ac:dyDescent="0.35">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row>
    <row r="292" spans="1:52" x14ac:dyDescent="0.35">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row>
    <row r="293" spans="1:52" x14ac:dyDescent="0.35">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AW293" s="34"/>
      <c r="AX293" s="34"/>
      <c r="AY293" s="34"/>
      <c r="AZ293" s="34"/>
    </row>
    <row r="294" spans="1:52" x14ac:dyDescent="0.35">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row>
    <row r="295" spans="1:52" x14ac:dyDescent="0.3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34"/>
      <c r="AW295" s="34"/>
      <c r="AX295" s="34"/>
      <c r="AY295" s="34"/>
      <c r="AZ295" s="34"/>
    </row>
    <row r="296" spans="1:52" x14ac:dyDescent="0.35">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34"/>
      <c r="AW296" s="34"/>
      <c r="AX296" s="34"/>
      <c r="AY296" s="34"/>
      <c r="AZ296" s="34"/>
    </row>
    <row r="297" spans="1:52" x14ac:dyDescent="0.35">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AW297" s="34"/>
      <c r="AX297" s="34"/>
      <c r="AY297" s="34"/>
      <c r="AZ297" s="34"/>
    </row>
    <row r="298" spans="1:52" x14ac:dyDescent="0.35">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AW298" s="34"/>
      <c r="AX298" s="34"/>
      <c r="AY298" s="34"/>
      <c r="AZ298" s="34"/>
    </row>
    <row r="299" spans="1:52" x14ac:dyDescent="0.35">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AW299" s="34"/>
      <c r="AX299" s="34"/>
      <c r="AY299" s="34"/>
      <c r="AZ299" s="34"/>
    </row>
    <row r="300" spans="1:52" x14ac:dyDescent="0.35">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34"/>
      <c r="AW300" s="34"/>
      <c r="AX300" s="34"/>
      <c r="AY300" s="34"/>
      <c r="AZ300" s="34"/>
    </row>
  </sheetData>
  <mergeCells count="30">
    <mergeCell ref="N14:O14"/>
    <mergeCell ref="J11:K11"/>
    <mergeCell ref="J12:K12"/>
    <mergeCell ref="J13:K13"/>
    <mergeCell ref="J14:K14"/>
    <mergeCell ref="L11:M11"/>
    <mergeCell ref="L12:M12"/>
    <mergeCell ref="L13:M13"/>
    <mergeCell ref="L14:M14"/>
    <mergeCell ref="F14:G14"/>
    <mergeCell ref="H11:I11"/>
    <mergeCell ref="H12:I12"/>
    <mergeCell ref="H13:I13"/>
    <mergeCell ref="H14:I14"/>
    <mergeCell ref="L3:O3"/>
    <mergeCell ref="J5:O5"/>
    <mergeCell ref="B11:C11"/>
    <mergeCell ref="B12:C12"/>
    <mergeCell ref="B13:C13"/>
    <mergeCell ref="F11:G11"/>
    <mergeCell ref="F12:G12"/>
    <mergeCell ref="F13:G13"/>
    <mergeCell ref="N11:O11"/>
    <mergeCell ref="N12:O12"/>
    <mergeCell ref="N13:O13"/>
    <mergeCell ref="B14:C14"/>
    <mergeCell ref="D11:E11"/>
    <mergeCell ref="D12:E12"/>
    <mergeCell ref="D13:E13"/>
    <mergeCell ref="D14:E14"/>
  </mergeCells>
  <conditionalFormatting sqref="B70:B84">
    <cfRule type="expression" dxfId="71" priority="7">
      <formula>LEFT(B70,1)="⛔"</formula>
    </cfRule>
    <cfRule type="expression" dxfId="70" priority="8">
      <formula>LEFT(B70,1)="⚠"</formula>
    </cfRule>
    <cfRule type="expression" dxfId="69" priority="9">
      <formula>LEFT(B70,1)="✅"</formula>
    </cfRule>
  </conditionalFormatting>
  <conditionalFormatting sqref="C56:C65">
    <cfRule type="expression" dxfId="68" priority="1">
      <formula>C56="Urgent"</formula>
    </cfRule>
    <cfRule type="expression" dxfId="67" priority="2">
      <formula>C56="High"</formula>
    </cfRule>
    <cfRule type="expression" dxfId="66" priority="3">
      <formula>C56="Normal"</formula>
    </cfRule>
    <cfRule type="expression" dxfId="65" priority="4">
      <formula>C56="Low"</formula>
    </cfRule>
  </conditionalFormatting>
  <conditionalFormatting sqref="C70:C84">
    <cfRule type="dataBar" priority="6">
      <dataBar>
        <cfvo type="num" val="0"/>
        <cfvo type="num" val="1"/>
        <color rgb="FF2F9E6A"/>
      </dataBar>
      <extLst>
        <ext xmlns:x14="http://schemas.microsoft.com/office/spreadsheetml/2009/9/main" uri="{B025F937-C7B1-47D3-B67F-A62EFF666E3E}">
          <x14:id>{DCA23B45-48C8-4D4B-A3CD-ECEEC127FEC9}</x14:id>
        </ext>
      </extLst>
    </cfRule>
  </conditionalFormatting>
  <conditionalFormatting sqref="E56:E65">
    <cfRule type="expression" dxfId="64" priority="5">
      <formula>E56="Overdue"</formula>
    </cfRule>
  </conditionalFormatting>
  <conditionalFormatting sqref="E70:E84">
    <cfRule type="expression" dxfId="63" priority="10">
      <formula>N(E70)&gt;0</formula>
    </cfRule>
  </conditionalFormatting>
  <conditionalFormatting sqref="J70:N84">
    <cfRule type="colorScale" priority="11">
      <colorScale>
        <cfvo type="num" val="0"/>
        <cfvo type="max"/>
        <color rgb="FFFFFFFF"/>
        <color rgb="FF8E8CF0"/>
      </colorScale>
    </cfRule>
  </conditionalFormatting>
  <conditionalFormatting sqref="O70:O84">
    <cfRule type="dataBar" priority="12">
      <dataBar>
        <cfvo type="num" val="0"/>
        <cfvo type="max"/>
        <color rgb="FFF19A1A"/>
      </dataBar>
      <extLst>
        <ext xmlns:x14="http://schemas.microsoft.com/office/spreadsheetml/2009/9/main" uri="{B025F937-C7B1-47D3-B67F-A62EFF666E3E}">
          <x14:id>{113E6894-510E-46F9-971C-38E4A7C96228}</x14:id>
        </ext>
      </extLst>
    </cfRule>
  </conditionalFormatting>
  <hyperlinks>
    <hyperlink ref="O2" location="'Home'!A1" display="⌂  Home" xr:uid="{3F1CE4F7-0860-4D37-BBDC-C29855B45A56}"/>
  </hyperlinks>
  <pageMargins left="0.7" right="0.7" top="0.75" bottom="0.75" header="0.3" footer="0.3"/>
  <pageSetup scale="74" fitToHeight="0" orientation="landscape" r:id="rId1"/>
  <drawing r:id="rId2"/>
  <extLst>
    <ext xmlns:x14="http://schemas.microsoft.com/office/spreadsheetml/2009/9/main" uri="{78C0D931-6437-407d-A8EE-F0AAD7539E65}">
      <x14:conditionalFormattings>
        <x14:conditionalFormatting xmlns:xm="http://schemas.microsoft.com/office/excel/2006/main">
          <x14:cfRule type="dataBar" id="{DCA23B45-48C8-4D4B-A3CD-ECEEC127FEC9}">
            <x14:dataBar minLength="0" maxLength="100" gradient="0" negativeBarColorSameAsPositive="1" axisPosition="none">
              <x14:cfvo type="num">
                <xm:f>0</xm:f>
              </x14:cfvo>
              <x14:cfvo type="num">
                <xm:f>1</xm:f>
              </x14:cfvo>
            </x14:dataBar>
          </x14:cfRule>
          <xm:sqref>C70:C84</xm:sqref>
        </x14:conditionalFormatting>
        <x14:conditionalFormatting xmlns:xm="http://schemas.microsoft.com/office/excel/2006/main">
          <x14:cfRule type="dataBar" id="{113E6894-510E-46F9-971C-38E4A7C96228}">
            <x14:dataBar minLength="0" maxLength="100" gradient="0" negativeBarColorSameAsPositive="1" axisPosition="none">
              <x14:cfvo type="num">
                <xm:f>0</xm:f>
              </x14:cfvo>
              <x14:cfvo type="max"/>
            </x14:dataBar>
          </x14:cfRule>
          <xm:sqref>O70:O84</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A6847-F103-4212-B28A-617FC8D1A547}">
  <sheetPr>
    <tabColor rgb="FF5B5BD6"/>
    <pageSetUpPr fitToPage="1"/>
  </sheetPr>
  <dimension ref="A1:AZ300"/>
  <sheetViews>
    <sheetView showGridLines="0" showRowColHeaders="0" topLeftCell="A35" zoomScale="85" zoomScaleNormal="85" workbookViewId="0">
      <selection activeCell="O2" sqref="O2"/>
    </sheetView>
  </sheetViews>
  <sheetFormatPr defaultRowHeight="15" x14ac:dyDescent="0.35"/>
  <cols>
    <col min="1" max="1" width="2.77734375" customWidth="1"/>
    <col min="2" max="2" width="1.5546875" customWidth="1"/>
    <col min="3" max="3" width="30.77734375" customWidth="1"/>
    <col min="4" max="4" width="2.77734375" customWidth="1"/>
    <col min="5" max="5" width="1.5546875" customWidth="1"/>
    <col min="6" max="6" width="30.77734375" customWidth="1"/>
    <col min="7" max="7" width="2.77734375" customWidth="1"/>
    <col min="8" max="8" width="1.5546875" customWidth="1"/>
    <col min="9" max="9" width="30.77734375" customWidth="1"/>
    <col min="10" max="10" width="2.77734375" customWidth="1"/>
    <col min="11" max="11" width="1.5546875" customWidth="1"/>
    <col min="12" max="12" width="30.77734375" customWidth="1"/>
    <col min="13" max="13" width="2.77734375" customWidth="1"/>
    <col min="14" max="14" width="1.5546875" customWidth="1"/>
    <col min="15" max="15" width="30.77734375" customWidth="1"/>
    <col min="16" max="16" width="2.77734375" customWidth="1"/>
  </cols>
  <sheetData>
    <row r="1" spans="1:52" ht="7.95" customHeight="1" x14ac:dyDescent="0.35">
      <c r="A1" s="1"/>
      <c r="B1" s="1"/>
      <c r="C1" s="1"/>
      <c r="D1" s="1"/>
      <c r="E1" s="1"/>
      <c r="F1" s="1"/>
      <c r="G1" s="1"/>
      <c r="H1" s="1"/>
      <c r="I1" s="1"/>
      <c r="J1" s="1"/>
      <c r="K1" s="1"/>
      <c r="L1" s="1"/>
      <c r="M1" s="1"/>
      <c r="N1" s="1"/>
      <c r="O1" s="1"/>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row>
    <row r="2" spans="1:52" ht="34.049999999999997" customHeight="1" x14ac:dyDescent="0.35">
      <c r="A2" s="1"/>
      <c r="B2" s="2" t="s">
        <v>253</v>
      </c>
      <c r="C2" s="1"/>
      <c r="D2" s="1"/>
      <c r="E2" s="1"/>
      <c r="F2" s="1"/>
      <c r="G2" s="1"/>
      <c r="H2" s="1"/>
      <c r="I2" s="1"/>
      <c r="J2" s="1"/>
      <c r="K2" s="1"/>
      <c r="L2" s="1"/>
      <c r="M2" s="1"/>
      <c r="N2" s="1"/>
      <c r="O2" s="4" t="s">
        <v>2</v>
      </c>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row>
    <row r="3" spans="1:52" ht="19.95" customHeight="1" x14ac:dyDescent="0.35">
      <c r="A3" s="1"/>
      <c r="B3" s="3" t="s">
        <v>254</v>
      </c>
      <c r="C3" s="1"/>
      <c r="D3" s="1"/>
      <c r="E3" s="1"/>
      <c r="F3" s="1"/>
      <c r="G3" s="1"/>
      <c r="H3" s="1"/>
      <c r="I3" s="1"/>
      <c r="J3" s="1"/>
      <c r="K3" s="1"/>
      <c r="L3" s="1"/>
      <c r="M3" s="1"/>
      <c r="N3" s="1"/>
      <c r="O3" s="1"/>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row>
    <row r="4" spans="1:52" ht="7.95" customHeight="1" x14ac:dyDescent="0.35">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row>
    <row r="5" spans="1:52" ht="19.05" customHeight="1" thickBot="1" x14ac:dyDescent="0.4">
      <c r="A5" s="34"/>
      <c r="B5" s="34"/>
      <c r="C5" s="35" t="s">
        <v>255</v>
      </c>
      <c r="D5" s="34"/>
      <c r="E5" s="34"/>
      <c r="F5" s="35" t="s">
        <v>257</v>
      </c>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row>
    <row r="6" spans="1:52" ht="19.05" customHeight="1" x14ac:dyDescent="0.35">
      <c r="A6" s="34"/>
      <c r="B6" s="34"/>
      <c r="C6" s="247"/>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row>
    <row r="7" spans="1:52" ht="19.05" customHeight="1" thickBot="1" x14ac:dyDescent="0.4">
      <c r="A7" s="34"/>
      <c r="B7" s="34"/>
      <c r="C7" s="248"/>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row>
    <row r="8" spans="1:52" ht="19.05" customHeight="1" x14ac:dyDescent="0.35">
      <c r="A8" s="34"/>
      <c r="B8" s="34"/>
      <c r="C8" s="84" t="s">
        <v>256</v>
      </c>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row>
    <row r="9" spans="1:52" ht="25.95" customHeight="1" x14ac:dyDescent="0.35">
      <c r="A9" s="34"/>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row>
    <row r="10" spans="1:52" ht="12" customHeight="1" x14ac:dyDescent="0.35">
      <c r="A10" s="34"/>
      <c r="B10" s="34"/>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row>
    <row r="11" spans="1:52" ht="24" customHeight="1" x14ac:dyDescent="0.35">
      <c r="A11" s="34"/>
      <c r="B11" s="246" t="str" cm="1">
        <f t="array" ref="B11">UPPER(INDEX(lstStatus,1))&amp;"    "&amp;COUNTIFS(tblTasks[Status],INDEX(lstStatus,1),tblTasks[Visible],1,tblTasks[Task],"&lt;&gt;")</f>
        <v>TO DO    14</v>
      </c>
      <c r="C11" s="246"/>
      <c r="D11" s="34"/>
      <c r="E11" s="246" t="str" cm="1">
        <f t="array" ref="E11">UPPER(INDEX(lstStatus,2))&amp;"    "&amp;COUNTIFS(tblTasks[Status],INDEX(lstStatus,2),tblTasks[Visible],1,tblTasks[Task],"&lt;&gt;")</f>
        <v>IN PROGRESS    9</v>
      </c>
      <c r="F11" s="246"/>
      <c r="G11" s="34"/>
      <c r="H11" s="246" t="str" cm="1">
        <f t="array" ref="H11">UPPER(INDEX(lstStatus,3))&amp;"    "&amp;COUNTIFS(tblTasks[Status],INDEX(lstStatus,3),tblTasks[Visible],1,tblTasks[Task],"&lt;&gt;")</f>
        <v>REVIEW    5</v>
      </c>
      <c r="I11" s="246"/>
      <c r="J11" s="34"/>
      <c r="K11" s="246" t="str" cm="1">
        <f t="array" ref="K11">UPPER(INDEX(lstStatus,4))&amp;"    "&amp;COUNTIFS(tblTasks[Status],INDEX(lstStatus,4),tblTasks[Visible],1,tblTasks[Task],"&lt;&gt;")</f>
        <v>BLOCKED    2</v>
      </c>
      <c r="L11" s="246"/>
      <c r="M11" s="34"/>
      <c r="N11" s="246" t="str" cm="1">
        <f t="array" ref="N11">UPPER(INDEX(lstStatus,5))&amp;"    "&amp;COUNTIFS(tblTasks[Status],INDEX(lstStatus,5),tblTasks[Visible],1,tblTasks[Task],"&lt;&gt;")</f>
        <v>DONE    10</v>
      </c>
      <c r="O11" s="246"/>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row>
    <row r="12" spans="1:52" ht="4.95" customHeight="1" x14ac:dyDescent="0.35">
      <c r="A12" s="34"/>
      <c r="B12" s="85"/>
      <c r="C12" s="85"/>
      <c r="D12" s="34"/>
      <c r="E12" s="9"/>
      <c r="F12" s="9"/>
      <c r="G12" s="34"/>
      <c r="H12" s="45"/>
      <c r="I12" s="45"/>
      <c r="J12" s="34"/>
      <c r="K12" s="43"/>
      <c r="L12" s="43"/>
      <c r="M12" s="34"/>
      <c r="N12" s="42"/>
      <c r="O12" s="42"/>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row>
    <row r="13" spans="1:52" ht="61.95" customHeight="1" x14ac:dyDescent="0.35">
      <c r="A13" s="34"/>
      <c r="B13" s="88" t="str" cm="1">
        <f t="array" aca="1" ref="B13:C39" ca="1">_xlfn.LET(_xlpm.st,INDEX(lstStatus,1),_xlpm.kw,TRIM($C$6),_xlpm.m,(tblTasks[Status]=_xlpm.st)*(tblTasks[Visible]=1)*(tblTasks[Task]&lt;&gt;"")*IF(_xlpm.kw="",1,ISNUMBER(SEARCH(_xlpm.kw,tblTasks[Task]&amp;" "&amp;tblTasks[Tags]&amp;" "&amp;tblTasks[Owner]&amp;" "&amp;tblTasks[Project]))),_xlpm.d,IFERROR(_xlfn.SORTBY(_xlfn._xlws.FILTER(_xlfn.HSTACK(tblTasks[Priority],tblTasks[Card]),_xlpm.m),_xlfn._xlws.FILTER(tblTasks[SortKey],_xlpm.m),1),""),_xlpm.n,MIN(ROWS(_xlpm.d),MaxCards),IF(INDEX(_xlpm.d,1,1)="","",_xlfn.LET(_xlpm.r,_xlfn.SEQUENCE(2*_xlpm.n-1),IF(MOD(_xlpm.r,2)=1,INDEX(_xlpm.d,(_xlpm.r+1)/2,{1,2}),""))))</f>
        <v>Urgent</v>
      </c>
      <c r="C13" s="87" t="str">
        <f ca="1"/>
        <v>QA signup flow on mobile
👤 Tom Becker    📅 16 Oct
⚠ OVERDUE   [WEB]   #qa #mobile</v>
      </c>
      <c r="D13" s="34"/>
      <c r="E13" s="88" t="str" cm="1">
        <f t="array" aca="1" ref="E13:F29" ca="1">_xlfn.LET(_xlpm.st,INDEX(lstStatus,2),_xlpm.kw,TRIM($C$6),_xlpm.m,(tblTasks[Status]=_xlpm.st)*(tblTasks[Visible]=1)*(tblTasks[Task]&lt;&gt;"")*IF(_xlpm.kw="",1,ISNUMBER(SEARCH(_xlpm.kw,tblTasks[Task]&amp;" "&amp;tblTasks[Tags]&amp;" "&amp;tblTasks[Owner]&amp;" "&amp;tblTasks[Project]))),_xlpm.d,IFERROR(_xlfn.SORTBY(_xlfn._xlws.FILTER(_xlfn.HSTACK(tblTasks[Priority],tblTasks[Card]),_xlpm.m),_xlfn._xlws.FILTER(tblTasks[SortKey],_xlpm.m),1),""),_xlpm.n,MIN(ROWS(_xlpm.d),MaxCards),IF(INDEX(_xlpm.d,1,1)="","",_xlfn.LET(_xlpm.r,_xlfn.SEQUENCE(2*_xlpm.n-1),IF(MOD(_xlpm.r,2)=1,INDEX(_xlpm.d,(_xlpm.r+1)/2,{1,2}),""))))</f>
        <v>Urgent</v>
      </c>
      <c r="F13" s="87" t="str">
        <f ca="1"/>
        <v>Vendor contract renewal
👤 Ravi Kumar    📅 18 Oct
[OPS]   #finance   · 50% done</v>
      </c>
      <c r="G13" s="34"/>
      <c r="H13" s="88" t="str" cm="1">
        <f t="array" aca="1" ref="H13:I21" ca="1">_xlfn.LET(_xlpm.st,INDEX(lstStatus,3),_xlpm.kw,TRIM($C$6),_xlpm.m,(tblTasks[Status]=_xlpm.st)*(tblTasks[Visible]=1)*(tblTasks[Task]&lt;&gt;"")*IF(_xlpm.kw="",1,ISNUMBER(SEARCH(_xlpm.kw,tblTasks[Task]&amp;" "&amp;tblTasks[Tags]&amp;" "&amp;tblTasks[Owner]&amp;" "&amp;tblTasks[Project]))),_xlpm.d,IFERROR(_xlfn.SORTBY(_xlfn._xlws.FILTER(_xlfn.HSTACK(tblTasks[Priority],tblTasks[Card]),_xlpm.m),_xlfn._xlws.FILTER(tblTasks[SortKey],_xlpm.m),1),""),_xlpm.n,MIN(ROWS(_xlpm.d),MaxCards),IF(INDEX(_xlpm.d,1,1)="","",_xlfn.LET(_xlpm.r,_xlfn.SEQUENCE(2*_xlpm.n-1),IF(MOD(_xlpm.r,2)=1,INDEX(_xlpm.d,(_xlpm.r+1)/2,{1,2}),""))))</f>
        <v>High</v>
      </c>
      <c r="I13" s="87" t="str">
        <f ca="1"/>
        <v>Push notification service
👤 Omar Haddad    📅 17 Oct
[APP]   #backend   · 90% done</v>
      </c>
      <c r="J13" s="34"/>
      <c r="K13" s="88" t="str" cm="1">
        <f t="array" aca="1" ref="K13:L15" ca="1">_xlfn.LET(_xlpm.st,INDEX(lstStatus,4),_xlpm.kw,TRIM($C$6),_xlpm.m,(tblTasks[Status]=_xlpm.st)*(tblTasks[Visible]=1)*(tblTasks[Task]&lt;&gt;"")*IF(_xlpm.kw="",1,ISNUMBER(SEARCH(_xlpm.kw,tblTasks[Task]&amp;" "&amp;tblTasks[Tags]&amp;" "&amp;tblTasks[Owner]&amp;" "&amp;tblTasks[Project]))),_xlpm.d,IFERROR(_xlfn.SORTBY(_xlfn._xlws.FILTER(_xlfn.HSTACK(tblTasks[Priority],tblTasks[Card]),_xlpm.m),_xlfn._xlws.FILTER(tblTasks[SortKey],_xlpm.m),1),""),_xlpm.n,MIN(ROWS(_xlpm.d),MaxCards),IF(INDEX(_xlpm.d,1,1)="","",_xlfn.LET(_xlpm.r,_xlfn.SEQUENCE(2*_xlpm.n-1),IF(MOD(_xlpm.r,2)=1,INDEX(_xlpm.d,(_xlpm.r+1)/2,{1,2}),""))))</f>
        <v>High</v>
      </c>
      <c r="L13" s="87" t="str">
        <f ca="1"/>
        <v>Landing page A/B test
👤 Jack Moore    📅 15 Oct
⚠ OVERDUE   [MKT]   #data #web   · 20% done</v>
      </c>
      <c r="M13" s="34"/>
      <c r="N13" s="88" t="str" cm="1">
        <f t="array" aca="1" ref="N13:O31" ca="1">_xlfn.LET(_xlpm.st,INDEX(lstStatus,5),_xlpm.kw,TRIM($C$6),_xlpm.m,(tblTasks[Status]=_xlpm.st)*(tblTasks[Visible]=1)*(tblTasks[Task]&lt;&gt;"")*IF(_xlpm.kw="",1,ISNUMBER(SEARCH(_xlpm.kw,tblTasks[Task]&amp;" "&amp;tblTasks[Tags]&amp;" "&amp;tblTasks[Owner]&amp;" "&amp;tblTasks[Project]))),_xlpm.d,IFERROR(_xlfn.SORTBY(_xlfn._xlws.FILTER(_xlfn.HSTACK(tblTasks[Priority],tblTasks[Card]),_xlpm.m),_xlfn._xlws.FILTER(tblTasks[SortKey],_xlpm.m),1),""),_xlpm.n,MIN(ROWS(_xlpm.d),MaxCards),IF(INDEX(_xlpm.d,1,1)="","",_xlfn.LET(_xlpm.r,_xlfn.SEQUENCE(2*_xlpm.n-1),IF(MOD(_xlpm.r,2)=1,INDEX(_xlpm.d,(_xlpm.r+1)/2,{1,2}),""))))</f>
        <v>Urgent</v>
      </c>
      <c r="O13" s="87" t="str">
        <f ca="1"/>
        <v>Budget approval
👤 Ravi Kumar    📅 1 Oct
⚠ OVERDUE   [MKT]   #finance   · 100% done</v>
      </c>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row>
    <row r="14" spans="1:52" ht="6" customHeight="1" x14ac:dyDescent="0.35">
      <c r="A14" s="34"/>
      <c r="B14" s="88" t="str">
        <f ca="1"/>
        <v/>
      </c>
      <c r="C14" s="87" t="str">
        <f ca="1"/>
        <v/>
      </c>
      <c r="D14" s="34"/>
      <c r="E14" s="88" t="str">
        <f ca="1"/>
        <v/>
      </c>
      <c r="F14" s="87" t="str">
        <f ca="1"/>
        <v/>
      </c>
      <c r="G14" s="34"/>
      <c r="H14" s="88" t="str">
        <f ca="1"/>
        <v/>
      </c>
      <c r="I14" s="87" t="str">
        <f ca="1"/>
        <v/>
      </c>
      <c r="J14" s="34"/>
      <c r="K14" s="88" t="str">
        <f ca="1"/>
        <v/>
      </c>
      <c r="L14" s="87" t="str">
        <f ca="1"/>
        <v/>
      </c>
      <c r="M14" s="34"/>
      <c r="N14" s="88" t="str">
        <f ca="1"/>
        <v/>
      </c>
      <c r="O14" s="87" t="str">
        <f ca="1"/>
        <v/>
      </c>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row>
    <row r="15" spans="1:52" ht="61.95" customHeight="1" x14ac:dyDescent="0.35">
      <c r="A15" s="34"/>
      <c r="B15" s="88" t="str">
        <f ca="1"/>
        <v>High</v>
      </c>
      <c r="C15" s="87" t="str">
        <f ca="1"/>
        <v>Beta tester feedback round
👤 Maya Chen    📅 14 Oct
⚠ OVERDUE   [APP]   #feedback</v>
      </c>
      <c r="D15" s="34"/>
      <c r="E15" s="88" t="str">
        <f ca="1"/>
        <v>Urgent</v>
      </c>
      <c r="F15" s="87" t="str">
        <f ca="1"/>
        <v>Offline sync engine
👤 Omar Haddad    📅 21 Oct
[APP]   #core   · 70% done</v>
      </c>
      <c r="G15" s="34"/>
      <c r="H15" s="88" t="str">
        <f ca="1"/>
        <v>High</v>
      </c>
      <c r="I15" s="87" t="str">
        <f ca="1"/>
        <v>Q4 hiring plan
👤 Sara Ali    📅 22 Oct
[OPS]   #people   · 70% done</v>
      </c>
      <c r="J15" s="34"/>
      <c r="K15" s="88" t="str">
        <f ca="1"/>
        <v>Normal</v>
      </c>
      <c r="L15" s="87" t="str">
        <f ca="1"/>
        <v>Migrate blog to new CMS
👤 Diego Santos    📅 25 Oct
[WEB]   #backend   · 30% done</v>
      </c>
      <c r="M15" s="34"/>
      <c r="N15" s="88" t="str">
        <f ca="1"/>
        <v>High</v>
      </c>
      <c r="O15" s="87" t="str">
        <f ca="1"/>
        <v>Campaign brief &amp; goals
👤 Lina Park    📅 27 Sep
⚠ OVERDUE   [MKT]   #strategy   · 100% done</v>
      </c>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row>
    <row r="16" spans="1:52" ht="6" customHeight="1" x14ac:dyDescent="0.35">
      <c r="A16" s="34"/>
      <c r="B16" s="88" t="str">
        <f ca="1"/>
        <v/>
      </c>
      <c r="C16" s="87" t="str">
        <f ca="1"/>
        <v/>
      </c>
      <c r="D16" s="34"/>
      <c r="E16" s="88" t="str">
        <f ca="1"/>
        <v/>
      </c>
      <c r="F16" s="87" t="str">
        <f ca="1"/>
        <v/>
      </c>
      <c r="G16" s="34"/>
      <c r="H16" s="88" t="str">
        <f ca="1"/>
        <v/>
      </c>
      <c r="I16" s="87" t="str">
        <f ca="1"/>
        <v/>
      </c>
      <c r="J16" s="34"/>
      <c r="K16" s="88"/>
      <c r="L16" s="87"/>
      <c r="M16" s="34"/>
      <c r="N16" s="88" t="str">
        <f ca="1"/>
        <v/>
      </c>
      <c r="O16" s="87" t="str">
        <f ca="1"/>
        <v/>
      </c>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row>
    <row r="17" spans="1:52" ht="61.95" customHeight="1" x14ac:dyDescent="0.35">
      <c r="A17" s="34"/>
      <c r="B17" s="88" t="str">
        <f ca="1"/>
        <v>High</v>
      </c>
      <c r="C17" s="87" t="str">
        <f ca="1"/>
        <v>Collect department KPIs
👤 Ravi Kumar    📅 31 Oct
[RPT]   #finance</v>
      </c>
      <c r="D17" s="34"/>
      <c r="E17" s="88" t="str">
        <f ca="1"/>
        <v>High</v>
      </c>
      <c r="F17" s="87" t="str">
        <f ca="1"/>
        <v>Customer churn analysis
👤 Jack Moore    📅 13 Oct
⚠ OVERDUE   [OPS]   #data   · 60% done</v>
      </c>
      <c r="G17" s="34"/>
      <c r="H17" s="88" t="str">
        <f ca="1"/>
        <v>Normal</v>
      </c>
      <c r="I17" s="87" t="str">
        <f ca="1"/>
        <v>Write pricing page copy
👤 Aisha Bello    📅 18 Oct
[WEB]   #copy   · 90% done</v>
      </c>
      <c r="J17" s="34"/>
      <c r="K17" s="88"/>
      <c r="L17" s="87"/>
      <c r="M17" s="34"/>
      <c r="N17" s="88" t="str">
        <f ca="1"/>
        <v>High</v>
      </c>
      <c r="O17" s="87" t="str">
        <f ca="1"/>
        <v>Finalize homepage wireframes
👤 Nora Fischer    📅 5 Oct
⚠ OVERDUE   [WEB]   #design   · 100% done</v>
      </c>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row>
    <row r="18" spans="1:52" ht="6" customHeight="1" x14ac:dyDescent="0.35">
      <c r="A18" s="34"/>
      <c r="B18" s="88" t="str">
        <f ca="1"/>
        <v/>
      </c>
      <c r="C18" s="87" t="str">
        <f ca="1"/>
        <v/>
      </c>
      <c r="D18" s="34"/>
      <c r="E18" s="88" t="str">
        <f ca="1"/>
        <v/>
      </c>
      <c r="F18" s="87" t="str">
        <f ca="1"/>
        <v/>
      </c>
      <c r="G18" s="34"/>
      <c r="H18" s="88" t="str">
        <f ca="1"/>
        <v/>
      </c>
      <c r="I18" s="87" t="str">
        <f ca="1"/>
        <v/>
      </c>
      <c r="J18" s="34"/>
      <c r="K18" s="88"/>
      <c r="L18" s="87"/>
      <c r="M18" s="34"/>
      <c r="N18" s="88" t="str">
        <f ca="1"/>
        <v/>
      </c>
      <c r="O18" s="87" t="str">
        <f ca="1"/>
        <v/>
      </c>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row>
    <row r="19" spans="1:52" ht="61.95" customHeight="1" x14ac:dyDescent="0.35">
      <c r="A19" s="34"/>
      <c r="B19" s="88" t="str">
        <f ca="1"/>
        <v>High</v>
      </c>
      <c r="C19" s="87" t="str">
        <f ca="1"/>
        <v>In-app product tour
👤 Diego Santos    📅 6 Nov
[ONB]   #frontend</v>
      </c>
      <c r="D19" s="34"/>
      <c r="E19" s="88" t="str">
        <f ca="1"/>
        <v>High</v>
      </c>
      <c r="F19" s="87" t="str">
        <f ca="1"/>
        <v>Build new pricing page
👤 Diego Santos    📅 20 Oct
[WEB]   #frontend   · 60% done</v>
      </c>
      <c r="G19" s="34"/>
      <c r="H19" s="88" t="str">
        <f ca="1"/>
        <v>Normal</v>
      </c>
      <c r="I19" s="87" t="str">
        <f ca="1"/>
        <v>Social media calendar
👤 Lina Park    📅 19 Oct
[MKT]   #social   · 80% done</v>
      </c>
      <c r="J19" s="34"/>
      <c r="K19" s="88"/>
      <c r="L19" s="87"/>
      <c r="M19" s="34"/>
      <c r="N19" s="88" t="str">
        <f ca="1"/>
        <v>High</v>
      </c>
      <c r="O19" s="87" t="str">
        <f ca="1"/>
        <v>Map current onboarding journey
👤 Maya Chen    📅 7 Oct
⚠ OVERDUE   [ONB]   #research   · 100% done</v>
      </c>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row>
    <row r="20" spans="1:52" ht="6" customHeight="1" x14ac:dyDescent="0.35">
      <c r="A20" s="34"/>
      <c r="B20" s="88" t="str">
        <f ca="1"/>
        <v/>
      </c>
      <c r="C20" s="87" t="str">
        <f ca="1"/>
        <v/>
      </c>
      <c r="D20" s="34"/>
      <c r="E20" s="88" t="str">
        <f ca="1"/>
        <v/>
      </c>
      <c r="F20" s="87" t="str">
        <f ca="1"/>
        <v/>
      </c>
      <c r="G20" s="34"/>
      <c r="H20" s="88" t="str">
        <f ca="1"/>
        <v/>
      </c>
      <c r="I20" s="87" t="str">
        <f ca="1"/>
        <v/>
      </c>
      <c r="J20" s="34"/>
      <c r="K20" s="88"/>
      <c r="L20" s="87"/>
      <c r="M20" s="34"/>
      <c r="N20" s="88" t="str">
        <f ca="1"/>
        <v/>
      </c>
      <c r="O20" s="87" t="str">
        <f ca="1"/>
        <v/>
      </c>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row>
    <row r="21" spans="1:52" ht="61.95" customHeight="1" x14ac:dyDescent="0.35">
      <c r="A21" s="34"/>
      <c r="B21" s="88" t="str">
        <f ca="1"/>
        <v>High</v>
      </c>
      <c r="C21" s="87" t="str">
        <f ca="1"/>
        <v>Launch-day checklist
👤 Sara Ali    📅 8 Nov
[WEB]   #launch</v>
      </c>
      <c r="D21" s="34"/>
      <c r="E21" s="88" t="str">
        <f ca="1"/>
        <v>High</v>
      </c>
      <c r="F21" s="87" t="str">
        <f ca="1"/>
        <v>Holiday email sequence
👤 Aisha Bello    📅 23 Oct
[MKT]   #email   · 50% done</v>
      </c>
      <c r="G21" s="34"/>
      <c r="H21" s="88" t="str">
        <f ca="1"/>
        <v>Normal</v>
      </c>
      <c r="I21" s="87" t="str">
        <f ca="1"/>
        <v>Onboarding success metrics
👤 Jack Moore    📅 21 Oct
[ONB]   #data   · 80% done</v>
      </c>
      <c r="J21" s="34"/>
      <c r="K21" s="88"/>
      <c r="L21" s="87"/>
      <c r="M21" s="34"/>
      <c r="N21" s="88" t="str">
        <f ca="1"/>
        <v>Normal</v>
      </c>
      <c r="O21" s="87" t="str">
        <f ca="1"/>
        <v>Crash reporting setup
👤 Tom Becker    📅 6 Oct
⚠ OVERDUE   [APP]   #qa   · 100% done</v>
      </c>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row>
    <row r="22" spans="1:52" ht="6" customHeight="1" x14ac:dyDescent="0.35">
      <c r="A22" s="34"/>
      <c r="B22" s="88" t="str">
        <f ca="1"/>
        <v/>
      </c>
      <c r="C22" s="87" t="str">
        <f ca="1"/>
        <v/>
      </c>
      <c r="D22" s="34"/>
      <c r="E22" s="88" t="str">
        <f ca="1"/>
        <v/>
      </c>
      <c r="F22" s="87" t="str">
        <f ca="1"/>
        <v/>
      </c>
      <c r="G22" s="34"/>
      <c r="H22" s="88"/>
      <c r="I22" s="87"/>
      <c r="J22" s="34"/>
      <c r="K22" s="88"/>
      <c r="L22" s="87"/>
      <c r="M22" s="34"/>
      <c r="N22" s="88" t="str">
        <f ca="1"/>
        <v/>
      </c>
      <c r="O22" s="87" t="str">
        <f ca="1"/>
        <v/>
      </c>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row>
    <row r="23" spans="1:52" ht="61.95" customHeight="1" x14ac:dyDescent="0.35">
      <c r="A23" s="34"/>
      <c r="B23" s="88" t="str">
        <f ca="1"/>
        <v>Normal</v>
      </c>
      <c r="C23" s="87" t="str">
        <f ca="1"/>
        <v>Paid ads creative
👤 Nora Fischer    📅 27 Oct
[MKT]   #ads #design</v>
      </c>
      <c r="D23" s="34"/>
      <c r="E23" s="88" t="str">
        <f ca="1"/>
        <v>High</v>
      </c>
      <c r="F23" s="87" t="str">
        <f ca="1"/>
        <v>Regression test suite
👤 Tom Becker    📅 24 Oct
[APP]   #qa   · 50% done</v>
      </c>
      <c r="G23" s="34"/>
      <c r="H23" s="88"/>
      <c r="I23" s="87"/>
      <c r="J23" s="34"/>
      <c r="K23" s="88"/>
      <c r="L23" s="87"/>
      <c r="M23" s="34"/>
      <c r="N23" s="88" t="str">
        <f ca="1"/>
        <v>Normal</v>
      </c>
      <c r="O23" s="87" t="str">
        <f ca="1"/>
        <v>Dark theme UI
👤 Nora Fischer    📅 9 Oct
⚠ OVERDUE   [APP]   #design   · 100% done</v>
      </c>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row>
    <row r="24" spans="1:52" ht="6" customHeight="1" x14ac:dyDescent="0.35">
      <c r="A24" s="34"/>
      <c r="B24" s="88" t="str">
        <f ca="1"/>
        <v/>
      </c>
      <c r="C24" s="87" t="str">
        <f ca="1"/>
        <v/>
      </c>
      <c r="D24" s="34"/>
      <c r="E24" s="88" t="str">
        <f ca="1"/>
        <v/>
      </c>
      <c r="F24" s="87" t="str">
        <f ca="1"/>
        <v/>
      </c>
      <c r="G24" s="34"/>
      <c r="H24" s="88"/>
      <c r="I24" s="87"/>
      <c r="J24" s="34"/>
      <c r="K24" s="88"/>
      <c r="L24" s="87"/>
      <c r="M24" s="34"/>
      <c r="N24" s="88" t="str">
        <f ca="1"/>
        <v/>
      </c>
      <c r="O24" s="87" t="str">
        <f ca="1"/>
        <v/>
      </c>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row>
    <row r="25" spans="1:52" ht="61.95" customHeight="1" x14ac:dyDescent="0.35">
      <c r="A25" s="34"/>
      <c r="B25" s="88" t="str">
        <f ca="1"/>
        <v>Normal</v>
      </c>
      <c r="C25" s="87" t="str">
        <f ca="1"/>
        <v>Release notes v2.0
👤 Aisha Bello    📅 27 Oct
[APP]   #docs</v>
      </c>
      <c r="D25" s="34"/>
      <c r="E25" s="88" t="str">
        <f ca="1"/>
        <v>Normal</v>
      </c>
      <c r="F25" s="87" t="str">
        <f ca="1"/>
        <v>Customer interview round
👤 Maya Chen    📅 19 Oct
[ONB]   #research   · 50% done</v>
      </c>
      <c r="G25" s="34"/>
      <c r="H25" s="88"/>
      <c r="I25" s="87"/>
      <c r="J25" s="34"/>
      <c r="K25" s="88"/>
      <c r="L25" s="87"/>
      <c r="M25" s="34"/>
      <c r="N25" s="88" t="str">
        <f ca="1"/>
        <v>Normal</v>
      </c>
      <c r="O25" s="87" t="str">
        <f ca="1"/>
        <v>Dashboard data clean-up
👤 Jack Moore    📅 12 Oct
⚠ OVERDUE   [OPS]   #data   · 100% done</v>
      </c>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row>
    <row r="26" spans="1:52" ht="6" customHeight="1" x14ac:dyDescent="0.35">
      <c r="A26" s="34"/>
      <c r="B26" s="88" t="str">
        <f ca="1"/>
        <v/>
      </c>
      <c r="C26" s="87" t="str">
        <f ca="1"/>
        <v/>
      </c>
      <c r="D26" s="34"/>
      <c r="E26" s="88" t="str">
        <f ca="1"/>
        <v/>
      </c>
      <c r="F26" s="87" t="str">
        <f ca="1"/>
        <v/>
      </c>
      <c r="G26" s="34"/>
      <c r="H26" s="88"/>
      <c r="I26" s="87"/>
      <c r="J26" s="34"/>
      <c r="K26" s="88"/>
      <c r="L26" s="87"/>
      <c r="M26" s="34"/>
      <c r="N26" s="88" t="str">
        <f ca="1"/>
        <v/>
      </c>
      <c r="O26" s="87" t="str">
        <f ca="1"/>
        <v/>
      </c>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row>
    <row r="27" spans="1:52" ht="61.95" customHeight="1" x14ac:dyDescent="0.35">
      <c r="A27" s="34"/>
      <c r="B27" s="88" t="str">
        <f ca="1"/>
        <v>Normal</v>
      </c>
      <c r="C27" s="87" t="str">
        <f ca="1"/>
        <v>Press release draft
👤 Aisha Bello    📅 29 Oct
[MKT]   #pr</v>
      </c>
      <c r="D27" s="34"/>
      <c r="E27" s="88" t="str">
        <f ca="1"/>
        <v>Normal</v>
      </c>
      <c r="F27" s="87" t="str">
        <f ca="1"/>
        <v>Set up analytics events
👤 Jack Moore    📅 22 Oct
[WEB]   #data   · 40% done</v>
      </c>
      <c r="G27" s="34"/>
      <c r="H27" s="88"/>
      <c r="I27" s="87"/>
      <c r="J27" s="34"/>
      <c r="K27" s="88"/>
      <c r="L27" s="87"/>
      <c r="M27" s="34"/>
      <c r="N27" s="88" t="str">
        <f ca="1"/>
        <v>Normal</v>
      </c>
      <c r="O27" s="87" t="str">
        <f ca="1"/>
        <v>Kickoff &amp; timeline
👤 Sara Ali    📅 17 Oct
[RPT]   #planning   · 100% done</v>
      </c>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row>
    <row r="28" spans="1:52" ht="6" customHeight="1" x14ac:dyDescent="0.35">
      <c r="A28" s="34"/>
      <c r="B28" s="88" t="str">
        <f ca="1"/>
        <v/>
      </c>
      <c r="C28" s="87" t="str">
        <f ca="1"/>
        <v/>
      </c>
      <c r="D28" s="34"/>
      <c r="E28" s="88" t="str">
        <f ca="1"/>
        <v/>
      </c>
      <c r="F28" s="87" t="str">
        <f ca="1"/>
        <v/>
      </c>
      <c r="G28" s="34"/>
      <c r="H28" s="88"/>
      <c r="I28" s="87"/>
      <c r="J28" s="34"/>
      <c r="K28" s="88"/>
      <c r="L28" s="87"/>
      <c r="M28" s="34"/>
      <c r="N28" s="88" t="str">
        <f ca="1"/>
        <v/>
      </c>
      <c r="O28" s="87" t="str">
        <f ca="1"/>
        <v/>
      </c>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row>
    <row r="29" spans="1:52" ht="61.95" customHeight="1" x14ac:dyDescent="0.35">
      <c r="A29" s="34"/>
      <c r="B29" s="88" t="str">
        <f ca="1"/>
        <v>Normal</v>
      </c>
      <c r="C29" s="87" t="str">
        <f ca="1"/>
        <v>Accessibility audit
👤 Nora Fischer    📅 31 Oct
[WEB]   #a11y</v>
      </c>
      <c r="D29" s="34"/>
      <c r="E29" s="88" t="str">
        <f ca="1"/>
        <v>Normal</v>
      </c>
      <c r="F29" s="87" t="str">
        <f ca="1"/>
        <v>Welcome email series
👤 Aisha Bello    📅 26 Oct
[ONB]   #email   · 30% done</v>
      </c>
      <c r="G29" s="34"/>
      <c r="H29" s="88"/>
      <c r="I29" s="87"/>
      <c r="J29" s="34"/>
      <c r="K29" s="88"/>
      <c r="L29" s="87"/>
      <c r="M29" s="34"/>
      <c r="N29" s="88" t="str">
        <f ca="1"/>
        <v>Low</v>
      </c>
      <c r="O29" s="87" t="str">
        <f ca="1"/>
        <v>Weekly team sync notes
👤 Sara Ali    📅 10 Oct
⚠ OVERDUE   [OPS]   #ops   · 100% done</v>
      </c>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row>
    <row r="30" spans="1:52" ht="6" customHeight="1" x14ac:dyDescent="0.35">
      <c r="A30" s="34"/>
      <c r="B30" s="88" t="str">
        <f ca="1"/>
        <v/>
      </c>
      <c r="C30" s="87" t="str">
        <f ca="1"/>
        <v/>
      </c>
      <c r="D30" s="34"/>
      <c r="E30" s="88"/>
      <c r="F30" s="87"/>
      <c r="G30" s="34"/>
      <c r="H30" s="88"/>
      <c r="I30" s="87"/>
      <c r="J30" s="34"/>
      <c r="K30" s="88"/>
      <c r="L30" s="87"/>
      <c r="M30" s="34"/>
      <c r="N30" s="88" t="str">
        <f ca="1"/>
        <v/>
      </c>
      <c r="O30" s="87" t="str">
        <f ca="1"/>
        <v/>
      </c>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row>
    <row r="31" spans="1:52" ht="61.95" customHeight="1" x14ac:dyDescent="0.35">
      <c r="A31" s="34"/>
      <c r="B31" s="88" t="str">
        <f ca="1"/>
        <v>Normal</v>
      </c>
      <c r="C31" s="87" t="str">
        <f ca="1"/>
        <v>Security awareness training
👤 Tom Becker    📅 2 Nov
[OPS]   #it</v>
      </c>
      <c r="D31" s="34"/>
      <c r="E31" s="88"/>
      <c r="F31" s="87"/>
      <c r="G31" s="34"/>
      <c r="H31" s="88"/>
      <c r="I31" s="87"/>
      <c r="J31" s="34"/>
      <c r="K31" s="88"/>
      <c r="L31" s="87"/>
      <c r="M31" s="34"/>
      <c r="N31" s="88" t="str">
        <f ca="1"/>
        <v>Low</v>
      </c>
      <c r="O31" s="87" t="str">
        <f ca="1"/>
        <v>Optimize image loading
👤 Diego Santos    📅 14 Oct
⚠ OVERDUE   [WEB]   #performance   · 100% done</v>
      </c>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row>
    <row r="32" spans="1:52" ht="6" customHeight="1" x14ac:dyDescent="0.35">
      <c r="A32" s="34"/>
      <c r="B32" s="88" t="str">
        <f ca="1"/>
        <v/>
      </c>
      <c r="C32" s="87" t="str">
        <f ca="1"/>
        <v/>
      </c>
      <c r="D32" s="34"/>
      <c r="E32" s="88"/>
      <c r="F32" s="87"/>
      <c r="G32" s="34"/>
      <c r="H32" s="88"/>
      <c r="I32" s="87"/>
      <c r="J32" s="34"/>
      <c r="K32" s="88"/>
      <c r="L32" s="87"/>
      <c r="M32" s="34"/>
      <c r="N32" s="88"/>
      <c r="O32" s="87"/>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row>
    <row r="33" spans="1:52" ht="61.95" customHeight="1" x14ac:dyDescent="0.35">
      <c r="A33" s="34"/>
      <c r="B33" s="88" t="str">
        <f ca="1"/>
        <v>Normal</v>
      </c>
      <c r="C33" s="87" t="str">
        <f ca="1"/>
        <v>Report design template
👤 Nora Fischer    📅 21 Nov
[RPT]   #design</v>
      </c>
      <c r="D33" s="34"/>
      <c r="E33" s="88"/>
      <c r="F33" s="87"/>
      <c r="G33" s="34"/>
      <c r="H33" s="88"/>
      <c r="I33" s="87"/>
      <c r="J33" s="34"/>
      <c r="K33" s="88"/>
      <c r="L33" s="87"/>
      <c r="M33" s="34"/>
      <c r="N33" s="88"/>
      <c r="O33" s="87"/>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row>
    <row r="34" spans="1:52" ht="6" customHeight="1" x14ac:dyDescent="0.35">
      <c r="A34" s="34"/>
      <c r="B34" s="88" t="str">
        <f ca="1"/>
        <v/>
      </c>
      <c r="C34" s="87" t="str">
        <f ca="1"/>
        <v/>
      </c>
      <c r="D34" s="34"/>
      <c r="E34" s="88"/>
      <c r="F34" s="87"/>
      <c r="G34" s="34"/>
      <c r="H34" s="88"/>
      <c r="I34" s="87"/>
      <c r="J34" s="34"/>
      <c r="K34" s="88"/>
      <c r="L34" s="87"/>
      <c r="M34" s="34"/>
      <c r="N34" s="88"/>
      <c r="O34" s="87"/>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row>
    <row r="35" spans="1:52" ht="61.95" customHeight="1" x14ac:dyDescent="0.35">
      <c r="A35" s="34"/>
      <c r="B35" s="88" t="str">
        <f ca="1"/>
        <v>Low</v>
      </c>
      <c r="C35" s="87" t="str">
        <f ca="1"/>
        <v>App store screenshots
👤 Nora Fischer    📅 26 Oct
[APP]   #store</v>
      </c>
      <c r="D35" s="34"/>
      <c r="E35" s="88"/>
      <c r="F35" s="87"/>
      <c r="G35" s="34"/>
      <c r="H35" s="88"/>
      <c r="I35" s="87"/>
      <c r="J35" s="34"/>
      <c r="K35" s="88"/>
      <c r="L35" s="87"/>
      <c r="M35" s="34"/>
      <c r="N35" s="88"/>
      <c r="O35" s="87"/>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row>
    <row r="36" spans="1:52" ht="6" customHeight="1" x14ac:dyDescent="0.35">
      <c r="A36" s="34"/>
      <c r="B36" s="88" t="str">
        <f ca="1"/>
        <v/>
      </c>
      <c r="C36" s="87" t="str">
        <f ca="1"/>
        <v/>
      </c>
      <c r="D36" s="34"/>
      <c r="E36" s="88"/>
      <c r="F36" s="87"/>
      <c r="G36" s="34"/>
      <c r="H36" s="88"/>
      <c r="I36" s="87"/>
      <c r="J36" s="34"/>
      <c r="K36" s="88"/>
      <c r="L36" s="87"/>
      <c r="M36" s="34"/>
      <c r="N36" s="88"/>
      <c r="O36" s="87"/>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row>
    <row r="37" spans="1:52" ht="61.95" customHeight="1" x14ac:dyDescent="0.35">
      <c r="A37" s="34"/>
      <c r="B37" s="88" t="str">
        <f ca="1"/>
        <v>Low</v>
      </c>
      <c r="C37" s="87" t="str">
        <f ca="1"/>
        <v>Influencer shortlist
👤 Lina Park    📅 4 Nov
[MKT]   #partners</v>
      </c>
      <c r="D37" s="34"/>
      <c r="E37" s="88"/>
      <c r="F37" s="87"/>
      <c r="G37" s="34"/>
      <c r="H37" s="88"/>
      <c r="I37" s="87"/>
      <c r="J37" s="34"/>
      <c r="K37" s="88"/>
      <c r="L37" s="87"/>
      <c r="M37" s="34"/>
      <c r="N37" s="88"/>
      <c r="O37" s="87"/>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row>
    <row r="38" spans="1:52" ht="6" customHeight="1" x14ac:dyDescent="0.35">
      <c r="A38" s="34"/>
      <c r="B38" s="88" t="str">
        <f ca="1"/>
        <v/>
      </c>
      <c r="C38" s="87" t="str">
        <f ca="1"/>
        <v/>
      </c>
      <c r="D38" s="34"/>
      <c r="E38" s="88"/>
      <c r="F38" s="87"/>
      <c r="G38" s="34"/>
      <c r="H38" s="88"/>
      <c r="I38" s="87"/>
      <c r="J38" s="34"/>
      <c r="K38" s="88"/>
      <c r="L38" s="87"/>
      <c r="M38" s="34"/>
      <c r="N38" s="88"/>
      <c r="O38" s="87"/>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row>
    <row r="39" spans="1:52" ht="61.95" customHeight="1" x14ac:dyDescent="0.35">
      <c r="A39" s="34"/>
      <c r="B39" s="88" t="str">
        <f ca="1"/>
        <v>Low</v>
      </c>
      <c r="C39" s="87" t="str">
        <f ca="1"/>
        <v>Help center refresh
👤 Aisha Bello    📅 16 Nov
[ONB]   #docs</v>
      </c>
      <c r="D39" s="34"/>
      <c r="E39" s="88"/>
      <c r="F39" s="87"/>
      <c r="G39" s="34"/>
      <c r="H39" s="88"/>
      <c r="I39" s="87"/>
      <c r="J39" s="34"/>
      <c r="K39" s="88"/>
      <c r="L39" s="87"/>
      <c r="M39" s="34"/>
      <c r="N39" s="88"/>
      <c r="O39" s="87"/>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row>
    <row r="40" spans="1:52" ht="6" customHeight="1" x14ac:dyDescent="0.35">
      <c r="A40" s="34"/>
      <c r="B40" s="88"/>
      <c r="C40" s="87"/>
      <c r="D40" s="34"/>
      <c r="E40" s="88"/>
      <c r="F40" s="87"/>
      <c r="G40" s="34"/>
      <c r="H40" s="88"/>
      <c r="I40" s="87"/>
      <c r="J40" s="34"/>
      <c r="K40" s="88"/>
      <c r="L40" s="87"/>
      <c r="M40" s="34"/>
      <c r="N40" s="88"/>
      <c r="O40" s="87"/>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row>
    <row r="41" spans="1:52" ht="61.95" customHeight="1" x14ac:dyDescent="0.35">
      <c r="A41" s="34"/>
      <c r="B41" s="88"/>
      <c r="C41" s="87"/>
      <c r="D41" s="34"/>
      <c r="E41" s="88"/>
      <c r="F41" s="87"/>
      <c r="G41" s="34"/>
      <c r="H41" s="88"/>
      <c r="I41" s="87"/>
      <c r="J41" s="34"/>
      <c r="K41" s="88"/>
      <c r="L41" s="87"/>
      <c r="M41" s="34"/>
      <c r="N41" s="88"/>
      <c r="O41" s="87"/>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row>
    <row r="42" spans="1:52" ht="6" customHeight="1" x14ac:dyDescent="0.35">
      <c r="A42" s="34"/>
      <c r="B42" s="88"/>
      <c r="C42" s="87"/>
      <c r="D42" s="34"/>
      <c r="E42" s="88"/>
      <c r="F42" s="87"/>
      <c r="G42" s="34"/>
      <c r="H42" s="88"/>
      <c r="I42" s="87"/>
      <c r="J42" s="34"/>
      <c r="K42" s="88"/>
      <c r="L42" s="87"/>
      <c r="M42" s="34"/>
      <c r="N42" s="88"/>
      <c r="O42" s="87"/>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row>
    <row r="43" spans="1:52" ht="61.95" customHeight="1" x14ac:dyDescent="0.35">
      <c r="A43" s="34"/>
      <c r="B43" s="88"/>
      <c r="C43" s="87"/>
      <c r="D43" s="34"/>
      <c r="E43" s="88"/>
      <c r="F43" s="87"/>
      <c r="G43" s="34"/>
      <c r="H43" s="88"/>
      <c r="I43" s="87"/>
      <c r="J43" s="34"/>
      <c r="K43" s="88"/>
      <c r="L43" s="87"/>
      <c r="M43" s="34"/>
      <c r="N43" s="88"/>
      <c r="O43" s="87"/>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row>
    <row r="44" spans="1:52" ht="6" customHeight="1" x14ac:dyDescent="0.35">
      <c r="A44" s="34"/>
      <c r="B44" s="88"/>
      <c r="C44" s="87"/>
      <c r="D44" s="34"/>
      <c r="E44" s="88"/>
      <c r="F44" s="87"/>
      <c r="G44" s="34"/>
      <c r="H44" s="88"/>
      <c r="I44" s="87"/>
      <c r="J44" s="34"/>
      <c r="K44" s="88"/>
      <c r="L44" s="87"/>
      <c r="M44" s="34"/>
      <c r="N44" s="88"/>
      <c r="O44" s="87"/>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row>
    <row r="45" spans="1:52" ht="61.95" customHeight="1" x14ac:dyDescent="0.35">
      <c r="A45" s="34"/>
      <c r="B45" s="88"/>
      <c r="C45" s="87"/>
      <c r="D45" s="34"/>
      <c r="E45" s="88"/>
      <c r="F45" s="87"/>
      <c r="G45" s="34"/>
      <c r="H45" s="88"/>
      <c r="I45" s="87"/>
      <c r="J45" s="34"/>
      <c r="K45" s="88"/>
      <c r="L45" s="87"/>
      <c r="M45" s="34"/>
      <c r="N45" s="88"/>
      <c r="O45" s="87"/>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row>
    <row r="46" spans="1:52" ht="6" customHeight="1" x14ac:dyDescent="0.35">
      <c r="A46" s="34"/>
      <c r="B46" s="88"/>
      <c r="C46" s="87"/>
      <c r="D46" s="34"/>
      <c r="E46" s="88"/>
      <c r="F46" s="87"/>
      <c r="G46" s="34"/>
      <c r="H46" s="88"/>
      <c r="I46" s="87"/>
      <c r="J46" s="34"/>
      <c r="K46" s="88"/>
      <c r="L46" s="87"/>
      <c r="M46" s="34"/>
      <c r="N46" s="88"/>
      <c r="O46" s="87"/>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row>
    <row r="47" spans="1:52" ht="61.95" customHeight="1" x14ac:dyDescent="0.35">
      <c r="A47" s="34"/>
      <c r="B47" s="88"/>
      <c r="C47" s="87"/>
      <c r="D47" s="34"/>
      <c r="E47" s="88"/>
      <c r="F47" s="87"/>
      <c r="G47" s="34"/>
      <c r="H47" s="88"/>
      <c r="I47" s="87"/>
      <c r="J47" s="34"/>
      <c r="K47" s="88"/>
      <c r="L47" s="87"/>
      <c r="M47" s="34"/>
      <c r="N47" s="88"/>
      <c r="O47" s="87"/>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row>
    <row r="48" spans="1:52" ht="6" customHeight="1" x14ac:dyDescent="0.35">
      <c r="A48" s="34"/>
      <c r="B48" s="88"/>
      <c r="C48" s="87"/>
      <c r="D48" s="34"/>
      <c r="E48" s="88"/>
      <c r="F48" s="87"/>
      <c r="G48" s="34"/>
      <c r="H48" s="88"/>
      <c r="I48" s="87"/>
      <c r="J48" s="34"/>
      <c r="K48" s="88"/>
      <c r="L48" s="87"/>
      <c r="M48" s="34"/>
      <c r="N48" s="88"/>
      <c r="O48" s="87"/>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row>
    <row r="49" spans="1:52" ht="61.95" customHeight="1" x14ac:dyDescent="0.35">
      <c r="A49" s="34"/>
      <c r="B49" s="88"/>
      <c r="C49" s="87"/>
      <c r="D49" s="34"/>
      <c r="E49" s="88"/>
      <c r="F49" s="87"/>
      <c r="G49" s="34"/>
      <c r="H49" s="88"/>
      <c r="I49" s="87"/>
      <c r="J49" s="34"/>
      <c r="K49" s="88"/>
      <c r="L49" s="87"/>
      <c r="M49" s="34"/>
      <c r="N49" s="88"/>
      <c r="O49" s="87"/>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row>
    <row r="50" spans="1:52" ht="6" customHeight="1" x14ac:dyDescent="0.35">
      <c r="A50" s="34"/>
      <c r="B50" s="88"/>
      <c r="C50" s="87"/>
      <c r="D50" s="34"/>
      <c r="E50" s="88"/>
      <c r="F50" s="87"/>
      <c r="G50" s="34"/>
      <c r="H50" s="88"/>
      <c r="I50" s="87"/>
      <c r="J50" s="34"/>
      <c r="K50" s="88"/>
      <c r="L50" s="87"/>
      <c r="M50" s="34"/>
      <c r="N50" s="88"/>
      <c r="O50" s="87"/>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row>
    <row r="51" spans="1:52" ht="61.95" customHeight="1" x14ac:dyDescent="0.35">
      <c r="A51" s="34"/>
      <c r="B51" s="88"/>
      <c r="C51" s="87"/>
      <c r="D51" s="34"/>
      <c r="E51" s="88"/>
      <c r="F51" s="87"/>
      <c r="G51" s="34"/>
      <c r="H51" s="88"/>
      <c r="I51" s="87"/>
      <c r="J51" s="34"/>
      <c r="K51" s="88"/>
      <c r="L51" s="87"/>
      <c r="M51" s="34"/>
      <c r="N51" s="88"/>
      <c r="O51" s="87"/>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row>
    <row r="52" spans="1:52" ht="6" customHeight="1" x14ac:dyDescent="0.35">
      <c r="A52" s="34"/>
      <c r="B52" s="88"/>
      <c r="C52" s="87"/>
      <c r="D52" s="34"/>
      <c r="E52" s="88"/>
      <c r="F52" s="87"/>
      <c r="G52" s="34"/>
      <c r="H52" s="88"/>
      <c r="I52" s="87"/>
      <c r="J52" s="34"/>
      <c r="K52" s="88"/>
      <c r="L52" s="87"/>
      <c r="M52" s="34"/>
      <c r="N52" s="88"/>
      <c r="O52" s="87"/>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row>
    <row r="53" spans="1:52" ht="61.95" customHeight="1" x14ac:dyDescent="0.35">
      <c r="A53" s="34"/>
      <c r="B53" s="88"/>
      <c r="C53" s="87"/>
      <c r="D53" s="34"/>
      <c r="E53" s="88"/>
      <c r="F53" s="87"/>
      <c r="G53" s="34"/>
      <c r="H53" s="88"/>
      <c r="I53" s="87"/>
      <c r="J53" s="34"/>
      <c r="K53" s="88"/>
      <c r="L53" s="87"/>
      <c r="M53" s="34"/>
      <c r="N53" s="88"/>
      <c r="O53" s="87"/>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row>
    <row r="54" spans="1:52" ht="6" customHeight="1" x14ac:dyDescent="0.35">
      <c r="A54" s="34"/>
      <c r="B54" s="88"/>
      <c r="C54" s="87"/>
      <c r="D54" s="34"/>
      <c r="E54" s="88"/>
      <c r="F54" s="87"/>
      <c r="G54" s="34"/>
      <c r="H54" s="88"/>
      <c r="I54" s="87"/>
      <c r="J54" s="34"/>
      <c r="K54" s="88"/>
      <c r="L54" s="87"/>
      <c r="M54" s="34"/>
      <c r="N54" s="88"/>
      <c r="O54" s="87"/>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row>
    <row r="55" spans="1:52" ht="61.95" customHeight="1" x14ac:dyDescent="0.35">
      <c r="A55" s="34"/>
      <c r="B55" s="88"/>
      <c r="C55" s="87"/>
      <c r="D55" s="34"/>
      <c r="E55" s="88"/>
      <c r="F55" s="87"/>
      <c r="G55" s="34"/>
      <c r="H55" s="88"/>
      <c r="I55" s="87"/>
      <c r="J55" s="34"/>
      <c r="K55" s="88"/>
      <c r="L55" s="87"/>
      <c r="M55" s="34"/>
      <c r="N55" s="88"/>
      <c r="O55" s="87"/>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row>
    <row r="56" spans="1:52" ht="6" customHeight="1" x14ac:dyDescent="0.35">
      <c r="A56" s="34"/>
      <c r="B56" s="88"/>
      <c r="C56" s="87"/>
      <c r="D56" s="34"/>
      <c r="E56" s="88"/>
      <c r="F56" s="87"/>
      <c r="G56" s="34"/>
      <c r="H56" s="88"/>
      <c r="I56" s="87"/>
      <c r="J56" s="34"/>
      <c r="K56" s="88"/>
      <c r="L56" s="87"/>
      <c r="M56" s="34"/>
      <c r="N56" s="88"/>
      <c r="O56" s="87"/>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row>
    <row r="57" spans="1:52" ht="61.95" customHeight="1" x14ac:dyDescent="0.35">
      <c r="A57" s="34"/>
      <c r="B57" s="88"/>
      <c r="C57" s="87"/>
      <c r="D57" s="34"/>
      <c r="E57" s="88"/>
      <c r="F57" s="87"/>
      <c r="G57" s="34"/>
      <c r="H57" s="88"/>
      <c r="I57" s="87"/>
      <c r="J57" s="34"/>
      <c r="K57" s="88"/>
      <c r="L57" s="87"/>
      <c r="M57" s="34"/>
      <c r="N57" s="88"/>
      <c r="O57" s="87"/>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row>
    <row r="58" spans="1:52" ht="6" customHeight="1" x14ac:dyDescent="0.35">
      <c r="A58" s="34"/>
      <c r="B58" s="88"/>
      <c r="C58" s="87"/>
      <c r="D58" s="34"/>
      <c r="E58" s="88"/>
      <c r="F58" s="87"/>
      <c r="G58" s="34"/>
      <c r="H58" s="88"/>
      <c r="I58" s="87"/>
      <c r="J58" s="34"/>
      <c r="K58" s="88"/>
      <c r="L58" s="87"/>
      <c r="M58" s="34"/>
      <c r="N58" s="88"/>
      <c r="O58" s="87"/>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row>
    <row r="59" spans="1:52" ht="61.95" customHeight="1" x14ac:dyDescent="0.35">
      <c r="A59" s="34"/>
      <c r="B59" s="88"/>
      <c r="C59" s="87"/>
      <c r="D59" s="34"/>
      <c r="E59" s="88"/>
      <c r="F59" s="87"/>
      <c r="G59" s="34"/>
      <c r="H59" s="88"/>
      <c r="I59" s="87"/>
      <c r="J59" s="34"/>
      <c r="K59" s="88"/>
      <c r="L59" s="87"/>
      <c r="M59" s="34"/>
      <c r="N59" s="88"/>
      <c r="O59" s="87"/>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row>
    <row r="60" spans="1:52" ht="6" customHeight="1" x14ac:dyDescent="0.35">
      <c r="A60" s="34"/>
      <c r="B60" s="88"/>
      <c r="C60" s="87"/>
      <c r="D60" s="34"/>
      <c r="E60" s="88"/>
      <c r="F60" s="87"/>
      <c r="G60" s="34"/>
      <c r="H60" s="88"/>
      <c r="I60" s="87"/>
      <c r="J60" s="34"/>
      <c r="K60" s="88"/>
      <c r="L60" s="87"/>
      <c r="M60" s="34"/>
      <c r="N60" s="88"/>
      <c r="O60" s="87"/>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row>
    <row r="61" spans="1:52" ht="61.95" customHeight="1" x14ac:dyDescent="0.35">
      <c r="A61" s="34"/>
      <c r="B61" s="88"/>
      <c r="C61" s="87"/>
      <c r="D61" s="34"/>
      <c r="E61" s="88"/>
      <c r="F61" s="87"/>
      <c r="G61" s="34"/>
      <c r="H61" s="88"/>
      <c r="I61" s="87"/>
      <c r="J61" s="34"/>
      <c r="K61" s="88"/>
      <c r="L61" s="87"/>
      <c r="M61" s="34"/>
      <c r="N61" s="88"/>
      <c r="O61" s="87"/>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row>
    <row r="62" spans="1:52" x14ac:dyDescent="0.35">
      <c r="A62" s="34"/>
      <c r="B62" s="86"/>
      <c r="C62" s="86"/>
      <c r="D62" s="34"/>
      <c r="E62" s="86"/>
      <c r="F62" s="86"/>
      <c r="G62" s="34"/>
      <c r="H62" s="86"/>
      <c r="I62" s="86"/>
      <c r="J62" s="34"/>
      <c r="K62" s="86"/>
      <c r="L62" s="86"/>
      <c r="M62" s="34"/>
      <c r="N62" s="86"/>
      <c r="O62" s="86"/>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row>
    <row r="63" spans="1:52" x14ac:dyDescent="0.35">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row>
    <row r="64" spans="1:52" x14ac:dyDescent="0.35">
      <c r="A64" s="34"/>
      <c r="B64" s="34"/>
      <c r="C64" s="83" t="s">
        <v>258</v>
      </c>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row>
    <row r="65" spans="1:52" x14ac:dyDescent="0.3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row>
    <row r="66" spans="1:52" x14ac:dyDescent="0.35">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row>
    <row r="67" spans="1:52" x14ac:dyDescent="0.35">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row>
    <row r="68" spans="1:52" x14ac:dyDescent="0.35">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row>
    <row r="69" spans="1:52" x14ac:dyDescent="0.35">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row>
    <row r="70" spans="1:52" x14ac:dyDescent="0.35">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row>
    <row r="71" spans="1:52" x14ac:dyDescent="0.35">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row>
    <row r="72" spans="1:52" x14ac:dyDescent="0.35">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row>
    <row r="73" spans="1:52" x14ac:dyDescent="0.35">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row>
    <row r="74" spans="1:52" x14ac:dyDescent="0.35">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row>
    <row r="75" spans="1:52" x14ac:dyDescent="0.3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row>
    <row r="76" spans="1:52" x14ac:dyDescent="0.35">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row>
    <row r="77" spans="1:52" x14ac:dyDescent="0.35">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row>
    <row r="78" spans="1:52" x14ac:dyDescent="0.35">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row>
    <row r="79" spans="1:52" x14ac:dyDescent="0.35">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row>
    <row r="80" spans="1:52" x14ac:dyDescent="0.35">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row>
    <row r="81" spans="1:52" x14ac:dyDescent="0.35">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row>
    <row r="82" spans="1:52" x14ac:dyDescent="0.35">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row>
    <row r="83" spans="1:52" x14ac:dyDescent="0.35">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row>
    <row r="84" spans="1:52" x14ac:dyDescent="0.35">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row>
    <row r="85" spans="1:52" x14ac:dyDescent="0.3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row>
    <row r="86" spans="1:52" x14ac:dyDescent="0.35">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row>
    <row r="87" spans="1:52" x14ac:dyDescent="0.35">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row>
    <row r="88" spans="1:52" x14ac:dyDescent="0.35">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row>
    <row r="89" spans="1:52" x14ac:dyDescent="0.35">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row>
    <row r="90" spans="1:52" x14ac:dyDescent="0.35">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row>
    <row r="91" spans="1:52" x14ac:dyDescent="0.35">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row>
    <row r="92" spans="1:52" x14ac:dyDescent="0.35">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row>
    <row r="93" spans="1:52" x14ac:dyDescent="0.35">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row>
    <row r="94" spans="1:52" x14ac:dyDescent="0.35">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row>
    <row r="95" spans="1:52" x14ac:dyDescent="0.3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row>
    <row r="96" spans="1:52" x14ac:dyDescent="0.35">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row>
    <row r="97" spans="1:52" x14ac:dyDescent="0.35">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row>
    <row r="98" spans="1:52" x14ac:dyDescent="0.35">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row>
    <row r="99" spans="1:52" x14ac:dyDescent="0.35">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row>
    <row r="100" spans="1:52" x14ac:dyDescent="0.35">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row>
    <row r="101" spans="1:52" x14ac:dyDescent="0.35">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row>
    <row r="102" spans="1:52" x14ac:dyDescent="0.35">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row>
    <row r="103" spans="1:52" x14ac:dyDescent="0.35">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row>
    <row r="104" spans="1:52" x14ac:dyDescent="0.35">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row>
    <row r="105" spans="1:52" x14ac:dyDescent="0.3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row>
    <row r="106" spans="1:52" x14ac:dyDescent="0.35">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row>
    <row r="107" spans="1:52" x14ac:dyDescent="0.35">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row>
    <row r="108" spans="1:52" x14ac:dyDescent="0.35">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row>
    <row r="109" spans="1:52" x14ac:dyDescent="0.35">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row>
    <row r="110" spans="1:52" x14ac:dyDescent="0.35">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row>
    <row r="111" spans="1:52" x14ac:dyDescent="0.35">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row>
    <row r="112" spans="1:52" x14ac:dyDescent="0.35">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row>
    <row r="113" spans="1:52" x14ac:dyDescent="0.35">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row>
    <row r="114" spans="1:52" x14ac:dyDescent="0.35">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row>
    <row r="115" spans="1:52" x14ac:dyDescent="0.3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row>
    <row r="116" spans="1:52" x14ac:dyDescent="0.35">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row>
    <row r="117" spans="1:52" x14ac:dyDescent="0.35">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row>
    <row r="118" spans="1:52" x14ac:dyDescent="0.35">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row>
    <row r="119" spans="1:52" x14ac:dyDescent="0.35">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row>
    <row r="120" spans="1:52" x14ac:dyDescent="0.35">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row>
    <row r="121" spans="1:52" x14ac:dyDescent="0.35">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row>
    <row r="122" spans="1:52" x14ac:dyDescent="0.35">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row>
    <row r="123" spans="1:52" x14ac:dyDescent="0.35">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row>
    <row r="124" spans="1:52" x14ac:dyDescent="0.35">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row>
    <row r="125" spans="1:52" x14ac:dyDescent="0.3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row>
    <row r="126" spans="1:52" x14ac:dyDescent="0.35">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row>
    <row r="127" spans="1:52" x14ac:dyDescent="0.35">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row>
    <row r="128" spans="1:52" x14ac:dyDescent="0.35">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row>
    <row r="129" spans="1:52" x14ac:dyDescent="0.35">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row>
    <row r="130" spans="1:52" x14ac:dyDescent="0.35">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row>
    <row r="131" spans="1:52" x14ac:dyDescent="0.35">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row>
    <row r="132" spans="1:52" x14ac:dyDescent="0.35">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row>
    <row r="133" spans="1:52" x14ac:dyDescent="0.35">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row>
    <row r="134" spans="1:52" x14ac:dyDescent="0.35">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row>
    <row r="135" spans="1:52" x14ac:dyDescent="0.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row>
    <row r="136" spans="1:52" x14ac:dyDescent="0.35">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row>
    <row r="137" spans="1:52" x14ac:dyDescent="0.35">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row>
    <row r="138" spans="1:52" x14ac:dyDescent="0.35">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row>
    <row r="139" spans="1:52" x14ac:dyDescent="0.35">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row>
    <row r="140" spans="1:52" x14ac:dyDescent="0.35">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row>
    <row r="141" spans="1:52" x14ac:dyDescent="0.35">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row>
    <row r="142" spans="1:52" x14ac:dyDescent="0.35">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row>
    <row r="143" spans="1:52" x14ac:dyDescent="0.35">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row>
    <row r="144" spans="1:52" x14ac:dyDescent="0.35">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row>
    <row r="145" spans="1:52" x14ac:dyDescent="0.3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row>
    <row r="146" spans="1:52" x14ac:dyDescent="0.35">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row>
    <row r="147" spans="1:52" x14ac:dyDescent="0.35">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row>
    <row r="148" spans="1:52" x14ac:dyDescent="0.35">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row>
    <row r="149" spans="1:52" x14ac:dyDescent="0.35">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row>
    <row r="150" spans="1:52" x14ac:dyDescent="0.35">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row>
    <row r="151" spans="1:52" x14ac:dyDescent="0.35">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row>
    <row r="152" spans="1:52" x14ac:dyDescent="0.35">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row>
    <row r="153" spans="1:52" x14ac:dyDescent="0.35">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row>
    <row r="154" spans="1:52" x14ac:dyDescent="0.35">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row>
    <row r="155" spans="1:52" x14ac:dyDescent="0.3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row>
    <row r="156" spans="1:52" x14ac:dyDescent="0.35">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row>
    <row r="157" spans="1:52" x14ac:dyDescent="0.35">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row>
    <row r="158" spans="1:52" x14ac:dyDescent="0.35">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row>
    <row r="159" spans="1:52" x14ac:dyDescent="0.35">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row>
    <row r="160" spans="1:52" x14ac:dyDescent="0.35">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row>
    <row r="161" spans="1:52" x14ac:dyDescent="0.35">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row>
    <row r="162" spans="1:52" x14ac:dyDescent="0.35">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row>
    <row r="163" spans="1:52" x14ac:dyDescent="0.35">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row>
    <row r="164" spans="1:52" x14ac:dyDescent="0.35">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row>
    <row r="165" spans="1:52" x14ac:dyDescent="0.3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row>
    <row r="166" spans="1:52" x14ac:dyDescent="0.35">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row>
    <row r="167" spans="1:52" x14ac:dyDescent="0.35">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row>
    <row r="168" spans="1:52" x14ac:dyDescent="0.35">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row>
    <row r="169" spans="1:52" x14ac:dyDescent="0.35">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row>
    <row r="170" spans="1:52" x14ac:dyDescent="0.35">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row>
    <row r="171" spans="1:52" x14ac:dyDescent="0.35">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row>
    <row r="172" spans="1:52" x14ac:dyDescent="0.35">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row>
    <row r="173" spans="1:52" x14ac:dyDescent="0.35">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row>
    <row r="174" spans="1:52" x14ac:dyDescent="0.35">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row>
    <row r="175" spans="1:52" x14ac:dyDescent="0.3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row>
    <row r="176" spans="1:52" x14ac:dyDescent="0.35">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row>
    <row r="177" spans="1:52" x14ac:dyDescent="0.35">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row>
    <row r="178" spans="1:52" x14ac:dyDescent="0.35">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row>
    <row r="179" spans="1:52" x14ac:dyDescent="0.35">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row>
    <row r="180" spans="1:52" x14ac:dyDescent="0.35">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row>
    <row r="181" spans="1:52" x14ac:dyDescent="0.35">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row>
    <row r="182" spans="1:52" x14ac:dyDescent="0.35">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row>
    <row r="183" spans="1:52" x14ac:dyDescent="0.35">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row>
    <row r="184" spans="1:52" x14ac:dyDescent="0.35">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row>
    <row r="185" spans="1:52" x14ac:dyDescent="0.3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row>
    <row r="186" spans="1:52" x14ac:dyDescent="0.35">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row>
    <row r="187" spans="1:52" x14ac:dyDescent="0.35">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row>
    <row r="188" spans="1:52" x14ac:dyDescent="0.35">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row>
    <row r="189" spans="1:52" x14ac:dyDescent="0.35">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row>
    <row r="190" spans="1:52" x14ac:dyDescent="0.35">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row>
    <row r="191" spans="1:52" x14ac:dyDescent="0.35">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row>
    <row r="192" spans="1:52" x14ac:dyDescent="0.35">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row>
    <row r="193" spans="1:52" x14ac:dyDescent="0.35">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row>
    <row r="194" spans="1:52" x14ac:dyDescent="0.35">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row>
    <row r="195" spans="1:52" x14ac:dyDescent="0.3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row>
    <row r="196" spans="1:52" x14ac:dyDescent="0.35">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row>
    <row r="197" spans="1:52" x14ac:dyDescent="0.35">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row>
    <row r="198" spans="1:52" x14ac:dyDescent="0.35">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row>
    <row r="199" spans="1:52" x14ac:dyDescent="0.35">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row>
    <row r="200" spans="1:52" x14ac:dyDescent="0.35">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row>
    <row r="201" spans="1:52" x14ac:dyDescent="0.35">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row>
    <row r="202" spans="1:52" x14ac:dyDescent="0.35">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row>
    <row r="203" spans="1:52" x14ac:dyDescent="0.35">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row>
    <row r="204" spans="1:52" x14ac:dyDescent="0.35">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row>
    <row r="205" spans="1:52" x14ac:dyDescent="0.3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row>
    <row r="206" spans="1:52" x14ac:dyDescent="0.35">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row>
    <row r="207" spans="1:52" x14ac:dyDescent="0.35">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c r="AU207" s="34"/>
      <c r="AV207" s="34"/>
      <c r="AW207" s="34"/>
      <c r="AX207" s="34"/>
      <c r="AY207" s="34"/>
      <c r="AZ207" s="34"/>
    </row>
    <row r="208" spans="1:52" x14ac:dyDescent="0.35">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row>
    <row r="209" spans="1:52" x14ac:dyDescent="0.35">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row>
    <row r="210" spans="1:52" x14ac:dyDescent="0.35">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row>
    <row r="211" spans="1:52" x14ac:dyDescent="0.35">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row>
    <row r="212" spans="1:52" x14ac:dyDescent="0.35">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row>
    <row r="213" spans="1:52" x14ac:dyDescent="0.35">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row>
    <row r="214" spans="1:52" x14ac:dyDescent="0.35">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c r="AU214" s="34"/>
      <c r="AV214" s="34"/>
      <c r="AW214" s="34"/>
      <c r="AX214" s="34"/>
      <c r="AY214" s="34"/>
      <c r="AZ214" s="34"/>
    </row>
    <row r="215" spans="1:52" x14ac:dyDescent="0.3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c r="AU215" s="34"/>
      <c r="AV215" s="34"/>
      <c r="AW215" s="34"/>
      <c r="AX215" s="34"/>
      <c r="AY215" s="34"/>
      <c r="AZ215" s="34"/>
    </row>
    <row r="216" spans="1:52" x14ac:dyDescent="0.35">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c r="AU216" s="34"/>
      <c r="AV216" s="34"/>
      <c r="AW216" s="34"/>
      <c r="AX216" s="34"/>
      <c r="AY216" s="34"/>
      <c r="AZ216" s="34"/>
    </row>
    <row r="217" spans="1:52" x14ac:dyDescent="0.35">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row>
    <row r="218" spans="1:52" x14ac:dyDescent="0.35">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row>
    <row r="219" spans="1:52" x14ac:dyDescent="0.35">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row>
    <row r="220" spans="1:52" x14ac:dyDescent="0.35">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row>
    <row r="221" spans="1:52" x14ac:dyDescent="0.35">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row>
    <row r="222" spans="1:52" x14ac:dyDescent="0.35">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row>
    <row r="223" spans="1:52" x14ac:dyDescent="0.35">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row>
    <row r="224" spans="1:52" x14ac:dyDescent="0.35">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34"/>
      <c r="AU224" s="34"/>
      <c r="AV224" s="34"/>
      <c r="AW224" s="34"/>
      <c r="AX224" s="34"/>
      <c r="AY224" s="34"/>
      <c r="AZ224" s="34"/>
    </row>
    <row r="225" spans="1:52" x14ac:dyDescent="0.3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row>
    <row r="226" spans="1:52" x14ac:dyDescent="0.35">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row>
    <row r="227" spans="1:52" x14ac:dyDescent="0.35">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row>
    <row r="228" spans="1:52" x14ac:dyDescent="0.35">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row>
    <row r="229" spans="1:52" x14ac:dyDescent="0.35">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34"/>
      <c r="AU229" s="34"/>
      <c r="AV229" s="34"/>
      <c r="AW229" s="34"/>
      <c r="AX229" s="34"/>
      <c r="AY229" s="34"/>
      <c r="AZ229" s="34"/>
    </row>
    <row r="230" spans="1:52" x14ac:dyDescent="0.35">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34"/>
      <c r="AU230" s="34"/>
      <c r="AV230" s="34"/>
      <c r="AW230" s="34"/>
      <c r="AX230" s="34"/>
      <c r="AY230" s="34"/>
      <c r="AZ230" s="34"/>
    </row>
    <row r="231" spans="1:52" x14ac:dyDescent="0.35">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row>
    <row r="232" spans="1:52" x14ac:dyDescent="0.35">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row>
    <row r="233" spans="1:52" x14ac:dyDescent="0.35">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c r="AU233" s="34"/>
      <c r="AV233" s="34"/>
      <c r="AW233" s="34"/>
      <c r="AX233" s="34"/>
      <c r="AY233" s="34"/>
      <c r="AZ233" s="34"/>
    </row>
    <row r="234" spans="1:52" x14ac:dyDescent="0.35">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4"/>
      <c r="AW234" s="34"/>
      <c r="AX234" s="34"/>
      <c r="AY234" s="34"/>
      <c r="AZ234" s="34"/>
    </row>
    <row r="235" spans="1:52" x14ac:dyDescent="0.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34"/>
      <c r="AU235" s="34"/>
      <c r="AV235" s="34"/>
      <c r="AW235" s="34"/>
      <c r="AX235" s="34"/>
      <c r="AY235" s="34"/>
      <c r="AZ235" s="34"/>
    </row>
    <row r="236" spans="1:52" x14ac:dyDescent="0.35">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c r="AU236" s="34"/>
      <c r="AV236" s="34"/>
      <c r="AW236" s="34"/>
      <c r="AX236" s="34"/>
      <c r="AY236" s="34"/>
      <c r="AZ236" s="34"/>
    </row>
    <row r="237" spans="1:52" x14ac:dyDescent="0.35">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c r="AS237" s="34"/>
      <c r="AT237" s="34"/>
      <c r="AU237" s="34"/>
      <c r="AV237" s="34"/>
      <c r="AW237" s="34"/>
      <c r="AX237" s="34"/>
      <c r="AY237" s="34"/>
      <c r="AZ237" s="34"/>
    </row>
    <row r="238" spans="1:52" x14ac:dyDescent="0.35">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row>
    <row r="239" spans="1:52" x14ac:dyDescent="0.35">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c r="AU239" s="34"/>
      <c r="AV239" s="34"/>
      <c r="AW239" s="34"/>
      <c r="AX239" s="34"/>
      <c r="AY239" s="34"/>
      <c r="AZ239" s="34"/>
    </row>
    <row r="240" spans="1:52" x14ac:dyDescent="0.3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row>
    <row r="241" spans="1:52" x14ac:dyDescent="0.3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row>
    <row r="242" spans="1:52" x14ac:dyDescent="0.3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row>
    <row r="243" spans="1:52" x14ac:dyDescent="0.3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row>
    <row r="244" spans="1:52" x14ac:dyDescent="0.3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row>
    <row r="245" spans="1:52" x14ac:dyDescent="0.3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c r="AW245" s="34"/>
      <c r="AX245" s="34"/>
      <c r="AY245" s="34"/>
      <c r="AZ245" s="34"/>
    </row>
    <row r="246" spans="1:52" x14ac:dyDescent="0.3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c r="AU246" s="34"/>
      <c r="AV246" s="34"/>
      <c r="AW246" s="34"/>
      <c r="AX246" s="34"/>
      <c r="AY246" s="34"/>
      <c r="AZ246" s="34"/>
    </row>
    <row r="247" spans="1:52" x14ac:dyDescent="0.3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34"/>
      <c r="AU247" s="34"/>
      <c r="AV247" s="34"/>
      <c r="AW247" s="34"/>
      <c r="AX247" s="34"/>
      <c r="AY247" s="34"/>
      <c r="AZ247" s="34"/>
    </row>
    <row r="248" spans="1:52" x14ac:dyDescent="0.3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34"/>
      <c r="AU248" s="34"/>
      <c r="AV248" s="34"/>
      <c r="AW248" s="34"/>
      <c r="AX248" s="34"/>
      <c r="AY248" s="34"/>
      <c r="AZ248" s="34"/>
    </row>
    <row r="249" spans="1:52" x14ac:dyDescent="0.3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row>
    <row r="250" spans="1:52" x14ac:dyDescent="0.35">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row>
    <row r="251" spans="1:52" x14ac:dyDescent="0.35">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row>
    <row r="252" spans="1:52" x14ac:dyDescent="0.35">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row>
    <row r="253" spans="1:52" x14ac:dyDescent="0.35">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row>
    <row r="254" spans="1:52" x14ac:dyDescent="0.35">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34"/>
      <c r="AU254" s="34"/>
      <c r="AV254" s="34"/>
      <c r="AW254" s="34"/>
      <c r="AX254" s="34"/>
      <c r="AY254" s="34"/>
      <c r="AZ254" s="34"/>
    </row>
    <row r="255" spans="1:52" x14ac:dyDescent="0.3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row>
    <row r="256" spans="1:52" x14ac:dyDescent="0.35">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row>
    <row r="257" spans="1:52" x14ac:dyDescent="0.35">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row>
    <row r="258" spans="1:52" x14ac:dyDescent="0.35">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34"/>
      <c r="AW258" s="34"/>
      <c r="AX258" s="34"/>
      <c r="AY258" s="34"/>
      <c r="AZ258" s="34"/>
    </row>
    <row r="259" spans="1:52" x14ac:dyDescent="0.35">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34"/>
      <c r="AW259" s="34"/>
      <c r="AX259" s="34"/>
      <c r="AY259" s="34"/>
      <c r="AZ259" s="34"/>
    </row>
    <row r="260" spans="1:52" x14ac:dyDescent="0.35">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34"/>
      <c r="AW260" s="34"/>
      <c r="AX260" s="34"/>
      <c r="AY260" s="34"/>
      <c r="AZ260" s="34"/>
    </row>
    <row r="261" spans="1:52" x14ac:dyDescent="0.35">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row>
    <row r="262" spans="1:52" x14ac:dyDescent="0.35">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row>
    <row r="263" spans="1:52" x14ac:dyDescent="0.35">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34"/>
      <c r="AW263" s="34"/>
      <c r="AX263" s="34"/>
      <c r="AY263" s="34"/>
      <c r="AZ263" s="34"/>
    </row>
    <row r="264" spans="1:52" x14ac:dyDescent="0.35">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row>
    <row r="265" spans="1:52" x14ac:dyDescent="0.3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row>
    <row r="266" spans="1:52" x14ac:dyDescent="0.35">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row>
    <row r="267" spans="1:52" x14ac:dyDescent="0.35">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row>
    <row r="268" spans="1:52" x14ac:dyDescent="0.35">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row>
    <row r="269" spans="1:52" x14ac:dyDescent="0.35">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row>
    <row r="270" spans="1:52" x14ac:dyDescent="0.35">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row>
    <row r="271" spans="1:52" x14ac:dyDescent="0.35">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row>
    <row r="272" spans="1:52" x14ac:dyDescent="0.35">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row>
    <row r="273" spans="1:52" x14ac:dyDescent="0.35">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4"/>
      <c r="AW273" s="34"/>
      <c r="AX273" s="34"/>
      <c r="AY273" s="34"/>
      <c r="AZ273" s="34"/>
    </row>
    <row r="274" spans="1:52" x14ac:dyDescent="0.35">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34"/>
      <c r="AW274" s="34"/>
      <c r="AX274" s="34"/>
      <c r="AY274" s="34"/>
      <c r="AZ274" s="34"/>
    </row>
    <row r="275" spans="1:52" x14ac:dyDescent="0.3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row>
    <row r="276" spans="1:52" x14ac:dyDescent="0.35">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row>
    <row r="277" spans="1:52" x14ac:dyDescent="0.35">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34"/>
      <c r="AW277" s="34"/>
      <c r="AX277" s="34"/>
      <c r="AY277" s="34"/>
      <c r="AZ277" s="34"/>
    </row>
    <row r="278" spans="1:52" x14ac:dyDescent="0.35">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c r="AU278" s="34"/>
      <c r="AV278" s="34"/>
      <c r="AW278" s="34"/>
      <c r="AX278" s="34"/>
      <c r="AY278" s="34"/>
      <c r="AZ278" s="34"/>
    </row>
    <row r="279" spans="1:52" x14ac:dyDescent="0.35">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row>
    <row r="280" spans="1:52" x14ac:dyDescent="0.35">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c r="AU280" s="34"/>
      <c r="AV280" s="34"/>
      <c r="AW280" s="34"/>
      <c r="AX280" s="34"/>
      <c r="AY280" s="34"/>
      <c r="AZ280" s="34"/>
    </row>
    <row r="281" spans="1:52" x14ac:dyDescent="0.35">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34"/>
      <c r="AW281" s="34"/>
      <c r="AX281" s="34"/>
      <c r="AY281" s="34"/>
      <c r="AZ281" s="34"/>
    </row>
    <row r="282" spans="1:52" x14ac:dyDescent="0.35">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34"/>
      <c r="AW282" s="34"/>
      <c r="AX282" s="34"/>
      <c r="AY282" s="34"/>
      <c r="AZ282" s="34"/>
    </row>
    <row r="283" spans="1:52" x14ac:dyDescent="0.35">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row>
    <row r="284" spans="1:52" x14ac:dyDescent="0.35">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34"/>
      <c r="AW284" s="34"/>
      <c r="AX284" s="34"/>
      <c r="AY284" s="34"/>
      <c r="AZ284" s="34"/>
    </row>
    <row r="285" spans="1:52" x14ac:dyDescent="0.3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row>
    <row r="286" spans="1:52" x14ac:dyDescent="0.35">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row>
    <row r="287" spans="1:52" x14ac:dyDescent="0.35">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row>
    <row r="288" spans="1:52" x14ac:dyDescent="0.35">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34"/>
      <c r="AW288" s="34"/>
      <c r="AX288" s="34"/>
      <c r="AY288" s="34"/>
      <c r="AZ288" s="34"/>
    </row>
    <row r="289" spans="1:52" x14ac:dyDescent="0.35">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34"/>
      <c r="AW289" s="34"/>
      <c r="AX289" s="34"/>
      <c r="AY289" s="34"/>
      <c r="AZ289" s="34"/>
    </row>
    <row r="290" spans="1:52" x14ac:dyDescent="0.35">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row>
    <row r="291" spans="1:52" x14ac:dyDescent="0.35">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row>
    <row r="292" spans="1:52" x14ac:dyDescent="0.35">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row>
    <row r="293" spans="1:52" x14ac:dyDescent="0.35">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AW293" s="34"/>
      <c r="AX293" s="34"/>
      <c r="AY293" s="34"/>
      <c r="AZ293" s="34"/>
    </row>
    <row r="294" spans="1:52" x14ac:dyDescent="0.35">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row>
    <row r="295" spans="1:52" x14ac:dyDescent="0.3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34"/>
      <c r="AW295" s="34"/>
      <c r="AX295" s="34"/>
      <c r="AY295" s="34"/>
      <c r="AZ295" s="34"/>
    </row>
    <row r="296" spans="1:52" x14ac:dyDescent="0.35">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34"/>
      <c r="AW296" s="34"/>
      <c r="AX296" s="34"/>
      <c r="AY296" s="34"/>
      <c r="AZ296" s="34"/>
    </row>
    <row r="297" spans="1:52" x14ac:dyDescent="0.35">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AW297" s="34"/>
      <c r="AX297" s="34"/>
      <c r="AY297" s="34"/>
      <c r="AZ297" s="34"/>
    </row>
    <row r="298" spans="1:52" x14ac:dyDescent="0.35">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AW298" s="34"/>
      <c r="AX298" s="34"/>
      <c r="AY298" s="34"/>
      <c r="AZ298" s="34"/>
    </row>
    <row r="299" spans="1:52" x14ac:dyDescent="0.35">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AW299" s="34"/>
      <c r="AX299" s="34"/>
      <c r="AY299" s="34"/>
      <c r="AZ299" s="34"/>
    </row>
    <row r="300" spans="1:52" x14ac:dyDescent="0.35">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34"/>
      <c r="AW300" s="34"/>
      <c r="AX300" s="34"/>
      <c r="AY300" s="34"/>
      <c r="AZ300" s="34"/>
    </row>
  </sheetData>
  <mergeCells count="6">
    <mergeCell ref="N11:O11"/>
    <mergeCell ref="C6:C7"/>
    <mergeCell ref="B11:C11"/>
    <mergeCell ref="E11:F11"/>
    <mergeCell ref="H11:I11"/>
    <mergeCell ref="K11:L11"/>
  </mergeCells>
  <conditionalFormatting sqref="B13:B61">
    <cfRule type="expression" dxfId="62" priority="3">
      <formula>B13="Urgent"</formula>
    </cfRule>
    <cfRule type="expression" dxfId="61" priority="4">
      <formula>B13="High"</formula>
    </cfRule>
    <cfRule type="expression" dxfId="60" priority="5">
      <formula>B13="Normal"</formula>
    </cfRule>
    <cfRule type="expression" dxfId="59" priority="6">
      <formula>B13="Low"</formula>
    </cfRule>
  </conditionalFormatting>
  <conditionalFormatting sqref="C13:C61">
    <cfRule type="expression" dxfId="58" priority="1">
      <formula>ISNUMBER(SEARCH("OVERDUE",C13))</formula>
    </cfRule>
    <cfRule type="expression" dxfId="57" priority="2">
      <formula>LEN(C13)&gt;0</formula>
    </cfRule>
  </conditionalFormatting>
  <conditionalFormatting sqref="E13:E61">
    <cfRule type="expression" dxfId="56" priority="9">
      <formula>E13="Urgent"</formula>
    </cfRule>
    <cfRule type="expression" dxfId="55" priority="10">
      <formula>E13="High"</formula>
    </cfRule>
    <cfRule type="expression" dxfId="54" priority="11">
      <formula>E13="Normal"</formula>
    </cfRule>
    <cfRule type="expression" dxfId="53" priority="12">
      <formula>E13="Low"</formula>
    </cfRule>
  </conditionalFormatting>
  <conditionalFormatting sqref="F13:F61">
    <cfRule type="expression" dxfId="52" priority="7">
      <formula>ISNUMBER(SEARCH("OVERDUE",F13))</formula>
    </cfRule>
    <cfRule type="expression" dxfId="51" priority="8">
      <formula>LEN(F13)&gt;0</formula>
    </cfRule>
  </conditionalFormatting>
  <conditionalFormatting sqref="H13:H61">
    <cfRule type="expression" dxfId="50" priority="15">
      <formula>H13="Urgent"</formula>
    </cfRule>
    <cfRule type="expression" dxfId="49" priority="16">
      <formula>H13="High"</formula>
    </cfRule>
    <cfRule type="expression" dxfId="48" priority="17">
      <formula>H13="Normal"</formula>
    </cfRule>
    <cfRule type="expression" dxfId="47" priority="18">
      <formula>H13="Low"</formula>
    </cfRule>
  </conditionalFormatting>
  <conditionalFormatting sqref="I13:I61">
    <cfRule type="expression" dxfId="46" priority="13">
      <formula>ISNUMBER(SEARCH("OVERDUE",I13))</formula>
    </cfRule>
    <cfRule type="expression" dxfId="45" priority="14">
      <formula>LEN(I13)&gt;0</formula>
    </cfRule>
  </conditionalFormatting>
  <conditionalFormatting sqref="K13:K61">
    <cfRule type="expression" dxfId="44" priority="21">
      <formula>K13="Urgent"</formula>
    </cfRule>
    <cfRule type="expression" dxfId="43" priority="22">
      <formula>K13="High"</formula>
    </cfRule>
    <cfRule type="expression" dxfId="42" priority="23">
      <formula>K13="Normal"</formula>
    </cfRule>
    <cfRule type="expression" dxfId="41" priority="24">
      <formula>K13="Low"</formula>
    </cfRule>
  </conditionalFormatting>
  <conditionalFormatting sqref="L13:L61">
    <cfRule type="expression" dxfId="40" priority="19">
      <formula>ISNUMBER(SEARCH("OVERDUE",L13))</formula>
    </cfRule>
    <cfRule type="expression" dxfId="39" priority="20">
      <formula>LEN(L13)&gt;0</formula>
    </cfRule>
  </conditionalFormatting>
  <conditionalFormatting sqref="N13:N61">
    <cfRule type="expression" dxfId="38" priority="27">
      <formula>N13="Urgent"</formula>
    </cfRule>
    <cfRule type="expression" dxfId="37" priority="28">
      <formula>N13="High"</formula>
    </cfRule>
    <cfRule type="expression" dxfId="36" priority="29">
      <formula>N13="Normal"</formula>
    </cfRule>
    <cfRule type="expression" dxfId="35" priority="30">
      <formula>N13="Low"</formula>
    </cfRule>
  </conditionalFormatting>
  <conditionalFormatting sqref="O13:O61">
    <cfRule type="expression" dxfId="34" priority="25">
      <formula>ISNUMBER(SEARCH("OVERDUE",O13))</formula>
    </cfRule>
    <cfRule type="expression" dxfId="33" priority="26">
      <formula>LEN(O13)&gt;0</formula>
    </cfRule>
  </conditionalFormatting>
  <hyperlinks>
    <hyperlink ref="O2" location="'Home'!A1" display="⌂  Home" xr:uid="{BCD72D17-BF91-44CC-A215-B71E4A025283}"/>
    <hyperlink ref="C8" location="'Tasks'!B7" display="＋ Add or edit tasks on the Tasks sheet" xr:uid="{F6B697DC-E5DC-4A1B-8A9A-DB2C08A4986C}"/>
  </hyperlinks>
  <pageMargins left="0.7" right="0.7" top="0.75" bottom="0.75" header="0.3" footer="0.3"/>
  <pageSetup scale="71" fitToHeight="0" orientation="landscape"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02E30-B688-4CFE-B430-66E0699F50BF}">
  <sheetPr>
    <tabColor rgb="FFC2489D"/>
    <pageSetUpPr fitToPage="1"/>
  </sheetPr>
  <dimension ref="A1:L300"/>
  <sheetViews>
    <sheetView showGridLines="0" showRowColHeaders="0" topLeftCell="A43" zoomScale="90" zoomScaleNormal="90" workbookViewId="0">
      <selection activeCell="H8" sqref="H8:K8"/>
    </sheetView>
  </sheetViews>
  <sheetFormatPr defaultRowHeight="15" x14ac:dyDescent="0.35"/>
  <cols>
    <col min="1" max="1" width="2.77734375" customWidth="1"/>
    <col min="2" max="2" width="12.77734375" customWidth="1"/>
    <col min="3" max="3" width="5.77734375" customWidth="1"/>
    <col min="4" max="4" width="15.77734375" customWidth="1"/>
    <col min="5" max="5" width="62.77734375" customWidth="1"/>
    <col min="6" max="6" width="15.77734375" customWidth="1"/>
    <col min="7" max="7" width="3.77734375" customWidth="1"/>
    <col min="8" max="8" width="17.77734375" customWidth="1"/>
    <col min="9" max="9" width="15.77734375" customWidth="1"/>
    <col min="10" max="10" width="46.77734375" customWidth="1"/>
    <col min="11" max="11" width="24.77734375" customWidth="1"/>
    <col min="12" max="12" width="2.77734375" customWidth="1"/>
  </cols>
  <sheetData>
    <row r="1" spans="1:12" ht="7.95" customHeight="1" x14ac:dyDescent="0.35">
      <c r="A1" s="1"/>
      <c r="B1" s="1"/>
      <c r="C1" s="1"/>
      <c r="D1" s="1"/>
      <c r="E1" s="1"/>
      <c r="F1" s="1"/>
      <c r="G1" s="1"/>
      <c r="H1" s="1"/>
      <c r="I1" s="1"/>
      <c r="J1" s="1"/>
      <c r="K1" s="1"/>
      <c r="L1" s="34"/>
    </row>
    <row r="2" spans="1:12" ht="34.049999999999997" customHeight="1" x14ac:dyDescent="0.35">
      <c r="A2" s="1"/>
      <c r="B2" s="2" t="s">
        <v>259</v>
      </c>
      <c r="C2" s="1"/>
      <c r="D2" s="1"/>
      <c r="E2" s="1"/>
      <c r="F2" s="1"/>
      <c r="G2" s="1"/>
      <c r="H2" s="1"/>
      <c r="I2" s="1"/>
      <c r="J2" s="1"/>
      <c r="K2" s="4" t="s">
        <v>2</v>
      </c>
      <c r="L2" s="34"/>
    </row>
    <row r="3" spans="1:12" ht="19.95" customHeight="1" x14ac:dyDescent="0.35">
      <c r="A3" s="1"/>
      <c r="B3" s="3" t="s">
        <v>260</v>
      </c>
      <c r="C3" s="1"/>
      <c r="D3" s="1"/>
      <c r="E3" s="1"/>
      <c r="F3" s="1"/>
      <c r="G3" s="1"/>
      <c r="H3" s="1"/>
      <c r="I3" s="1"/>
      <c r="J3" s="1"/>
      <c r="K3" s="1"/>
      <c r="L3" s="34"/>
    </row>
    <row r="4" spans="1:12" ht="10.050000000000001" customHeight="1" x14ac:dyDescent="0.35">
      <c r="A4" s="34"/>
      <c r="B4" s="34"/>
      <c r="C4" s="34"/>
      <c r="D4" s="34"/>
      <c r="E4" s="34"/>
      <c r="F4" s="34"/>
      <c r="G4" s="34"/>
      <c r="H4" s="34"/>
      <c r="I4" s="34"/>
      <c r="J4" s="34"/>
      <c r="K4" s="34"/>
      <c r="L4" s="34"/>
    </row>
    <row r="5" spans="1:12" ht="40.049999999999997" customHeight="1" x14ac:dyDescent="0.35">
      <c r="A5" s="34"/>
      <c r="B5" s="250" t="str" cm="1">
        <f t="array" aca="1" ref="B5" ca="1">"TODAY   ·   🆕 "&amp;COUNTIFS(tblTasks[Added On],TODAY())&amp;" new tasks      ✅ "&amp;COUNTIFS(tblTasks[Completed On],TODAY())&amp;" completed      🚀 "&amp;COUNTIFS(tblProjects[Added On],TODAY())&amp;" new projects      💬 "&amp;COUNTIFS(tblChat[When],"&gt;="&amp;TODAY(),tblChat[When],"&lt;"&amp;(TODAY()+1))&amp;" messages      📅 "&amp;COUNTIFS(tblTasks[Due Date],TODAY(),tblTasks[Status],"&lt;&gt;"&amp;DoneStatus)&amp;" due today"</f>
        <v>TODAY   ·   🆕 5 new tasks      ✅ 1 completed      🚀 2 new projects      💬 5 messages      📅 2 due today</v>
      </c>
      <c r="C5" s="251"/>
      <c r="D5" s="251"/>
      <c r="E5" s="251"/>
      <c r="F5" s="251"/>
      <c r="G5" s="251"/>
      <c r="H5" s="251"/>
      <c r="I5" s="251"/>
      <c r="J5" s="251"/>
      <c r="K5" s="252"/>
      <c r="L5" s="34"/>
    </row>
    <row r="6" spans="1:12" ht="10.050000000000001" customHeight="1" x14ac:dyDescent="0.35">
      <c r="A6" s="34"/>
      <c r="B6" s="34"/>
      <c r="C6" s="34"/>
      <c r="D6" s="34"/>
      <c r="E6" s="34"/>
      <c r="F6" s="34"/>
      <c r="G6" s="34"/>
      <c r="H6" s="34"/>
      <c r="I6" s="34"/>
      <c r="J6" s="34"/>
      <c r="K6" s="34"/>
      <c r="L6" s="34"/>
    </row>
    <row r="7" spans="1:12" ht="18" customHeight="1" x14ac:dyDescent="0.35">
      <c r="A7" s="34"/>
      <c r="B7" s="253" t="s">
        <v>261</v>
      </c>
      <c r="C7" s="254"/>
      <c r="D7" s="254"/>
      <c r="E7" s="255"/>
      <c r="F7" s="34"/>
      <c r="G7" s="34"/>
      <c r="H7" s="259" t="s">
        <v>262</v>
      </c>
      <c r="I7" s="260"/>
      <c r="J7" s="260"/>
      <c r="K7" s="261"/>
      <c r="L7" s="34"/>
    </row>
    <row r="8" spans="1:12" ht="49.95" customHeight="1" x14ac:dyDescent="0.35">
      <c r="A8" s="34"/>
      <c r="B8" s="256" t="str" cm="1">
        <f t="array" ref="B8">IFERROR(_xlfn.TAKE(tblProjects[Project],-1)&amp;"   ["&amp;_xlfn.TAKE(tblProjects[Code],-1)&amp;"]"&amp;CHAR(10)&amp;"Owner: "&amp;_xlfn.TAKE(tblProjects[Owner],-1)&amp;"   ·   Target: "&amp;TEXT(_xlfn.TAKE(tblProjects[Target Date],-1),"d mmm yyyy")&amp;CHAR(10)&amp;_xlfn.TAKE(tblProjects[Description],-1),"No projects yet")</f>
        <v xml:space="preserve">ExCon   [UPA]
Owner: Maya Chen   ·   Target: 17 Jan 2027
Critical Preparation </v>
      </c>
      <c r="C8" s="257"/>
      <c r="D8" s="257"/>
      <c r="E8" s="258"/>
      <c r="F8" s="34"/>
      <c r="G8" s="34"/>
      <c r="H8" s="256" t="str" cm="1">
        <f t="array" ref="H8">IFERROR(_xlfn.TAKE(tblTasks[ID],-1)&amp;"  ·  "&amp;_xlfn.TAKE(tblTasks[Task],-1)&amp;CHAR(10)&amp;"Owner: "&amp;_xlfn.TAKE(tblTasks[Owner],-1)&amp;"   ·   "&amp;_xlfn.TAKE(tblTasks[Project],-1)&amp;CHAR(10)&amp;"Status: "&amp;_xlfn.TAKE(tblTasks[Status],-1)&amp;"   ·   Priority: "&amp;_xlfn.TAKE(tblTasks[Priority],-1),"No tasks yet")</f>
        <v>T-041  ·  1st Priority task
Owner: Maya Chen   ·   ExCon
Status: Back Log   ·   Priority: High</v>
      </c>
      <c r="I8" s="257"/>
      <c r="J8" s="257"/>
      <c r="K8" s="258"/>
      <c r="L8" s="34"/>
    </row>
    <row r="9" spans="1:12" ht="10.050000000000001" customHeight="1" x14ac:dyDescent="0.35">
      <c r="A9" s="34"/>
      <c r="B9" s="34"/>
      <c r="C9" s="34"/>
      <c r="D9" s="34"/>
      <c r="E9" s="34"/>
      <c r="F9" s="34"/>
      <c r="G9" s="34"/>
      <c r="H9" s="34"/>
      <c r="I9" s="34"/>
      <c r="J9" s="34"/>
      <c r="K9" s="34"/>
      <c r="L9" s="34"/>
    </row>
    <row r="10" spans="1:12" ht="25.95" customHeight="1" x14ac:dyDescent="0.45">
      <c r="A10" s="34"/>
      <c r="B10" s="46" t="s">
        <v>263</v>
      </c>
      <c r="C10" s="34"/>
      <c r="D10" s="34"/>
      <c r="E10" s="34"/>
      <c r="F10" s="34"/>
      <c r="G10" s="34"/>
      <c r="H10" s="46" t="s">
        <v>268</v>
      </c>
      <c r="I10" s="34"/>
      <c r="J10" s="34"/>
      <c r="K10" s="34"/>
      <c r="L10" s="34"/>
    </row>
    <row r="11" spans="1:12" ht="18" customHeight="1" x14ac:dyDescent="0.35">
      <c r="A11" s="34"/>
      <c r="B11" s="34"/>
      <c r="C11" s="34"/>
      <c r="D11" s="34"/>
      <c r="E11" s="34"/>
      <c r="F11" s="34"/>
      <c r="G11" s="34"/>
      <c r="H11" s="249" t="s">
        <v>269</v>
      </c>
      <c r="I11" s="249"/>
      <c r="J11" s="249"/>
      <c r="K11" s="249"/>
      <c r="L11" s="34"/>
    </row>
    <row r="12" spans="1:12" ht="30" customHeight="1" x14ac:dyDescent="0.35">
      <c r="A12" s="34"/>
      <c r="B12" s="89" t="s">
        <v>264</v>
      </c>
      <c r="C12" s="90"/>
      <c r="D12" s="90" t="s">
        <v>265</v>
      </c>
      <c r="E12" s="90" t="s">
        <v>266</v>
      </c>
      <c r="F12" s="91" t="s">
        <v>267</v>
      </c>
      <c r="G12" s="34"/>
      <c r="H12" s="10" t="s">
        <v>205</v>
      </c>
      <c r="I12" s="10" t="s">
        <v>206</v>
      </c>
      <c r="J12" s="10" t="s">
        <v>207</v>
      </c>
      <c r="K12" s="10" t="s">
        <v>208</v>
      </c>
      <c r="L12" s="34"/>
    </row>
    <row r="13" spans="1:12" ht="30" customHeight="1" x14ac:dyDescent="0.35">
      <c r="A13" s="34"/>
      <c r="B13" s="92" t="str" cm="1">
        <f t="array" aca="1" ref="B13:F52" ca="1">_xlfn.LET(_xlpm.icon,_xlfn.LAMBDA(_xlpm.col,_xlpm.txt,IF(LEN(_xlpm.col)&gt;=0,_xlpm.txt)),_xlpm.tA,IFERROR(_xlfn._xlws.FILTER(_xlfn.HSTACK(tblTasks[Added On],_xlpm.icon(tblTasks[Task],"🆕"),tblTasks[Added By],"added task “"&amp;tblTasks[Task]&amp;"” to "&amp;tblTasks[Project]),(tblTasks[Task]&lt;&gt;"")*ISNUMBER(tblTasks[Added On])),{0,"","",""}),_xlpm.tC,IFERROR(_xlfn._xlws.FILTER(_xlfn.HSTACK(tblTasks[Completed On],_xlpm.icon(tblTasks[Task],"✅"),tblTasks[Owner],"completed “"&amp;tblTasks[Task]&amp;"”"),(tblTasks[Status]=DoneStatus)*ISNUMBER(tblTasks[Completed On])),{0,"","",""}),_xlpm.tP,IFERROR(_xlfn._xlws.FILTER(_xlfn.HSTACK(tblProjects[Added On],_xlpm.icon(tblProjects[Project],"🚀"),tblProjects[Added By],"launched project “"&amp;tblProjects[Project]&amp;"” · target "&amp;TEXT(tblProjects[Target Date],"d mmm")),(tblProjects[Project]&lt;&gt;"")*ISNUMBER(tblProjects[Added On])),{0,"","",""}),_xlpm.tM,IFERROR(_xlfn._xlws.FILTER(_xlfn.HSTACK(tblChat[When],_xlpm.icon(tblChat[Message],"💬"),tblChat[Who],tblChat[Message]&amp;IF(tblChat[About]="",""," · re: "&amp;tblChat[About])),(tblChat[Message]&lt;&gt;"")*ISNUMBER(tblChat[When])),{0,"","",""}),_xlpm.all,_xlfn.VSTACK(_xlpm.tA,_xlpm.tC,_xlpm.tP,_xlpm.tM),_xlpm.f,_xlfn._xlws.FILTER(_xlpm.all,INDEX(_xlpm.all,,1)&gt;0,{0,"","",""}),_xlpm.t,_xlfn.TAKE(_xlfn.SORTBY(_xlpm.f,INDEX(_xlpm.f,,1),-1),40),_xlpm.w,INDEX(_xlpm.t,,1),_xlpm.ago,TODAY()-INT(_xlpm.w),IF(_xlpm.w=0,"",_xlfn.HSTACK(IF(_xlpm.ago=0,"Today",IF(_xlpm.ago=1,"Yesterday",_xlpm.ago&amp;" days ago")),_xlfn.DROP(_xlpm.t,,1),TEXT(_xlpm.w,IF(MOD(_xlpm.w,1)=0,"ddd d mmm","ddd d mmm, h:mm")))))</f>
        <v>Today</v>
      </c>
      <c r="C13" s="93" t="str">
        <f ca="1"/>
        <v>💬</v>
      </c>
      <c r="D13" s="94" t="str">
        <f ca="1"/>
        <v>Nora Fischer</v>
      </c>
      <c r="E13" s="95" t="str">
        <f ca="1"/>
        <v>Dark theme shipped. Screenshots for the store are next. · re: App store screenshots</v>
      </c>
      <c r="F13" s="96" t="str">
        <f ca="1"/>
        <v>Sat 17 Oct, 15:48</v>
      </c>
      <c r="G13" s="34"/>
      <c r="H13" s="18">
        <v>46311.583333333336</v>
      </c>
      <c r="I13" s="6" t="s">
        <v>51</v>
      </c>
      <c r="J13" s="20" t="s">
        <v>209</v>
      </c>
      <c r="K13" s="6"/>
      <c r="L13" s="34"/>
    </row>
    <row r="14" spans="1:12" ht="30" customHeight="1" x14ac:dyDescent="0.35">
      <c r="A14" s="34"/>
      <c r="B14" s="97" t="str">
        <f ca="1"/>
        <v>Today</v>
      </c>
      <c r="C14" s="98" t="str">
        <f ca="1"/>
        <v>💬</v>
      </c>
      <c r="D14" s="99" t="str">
        <f ca="1"/>
        <v>Diego Santos</v>
      </c>
      <c r="E14" s="100" t="str">
        <f ca="1"/>
        <v>Pricing page is on staging, feedback welcome! · re: Build new pricing page</v>
      </c>
      <c r="F14" s="101" t="str">
        <f ca="1"/>
        <v>Sat 17 Oct, 15:20</v>
      </c>
      <c r="G14" s="34"/>
      <c r="H14" s="19">
        <v>46311.666666666664</v>
      </c>
      <c r="I14" s="7" t="s">
        <v>55</v>
      </c>
      <c r="J14" s="21" t="s">
        <v>210</v>
      </c>
      <c r="K14" s="7" t="s">
        <v>169</v>
      </c>
      <c r="L14" s="34"/>
    </row>
    <row r="15" spans="1:12" ht="30" customHeight="1" x14ac:dyDescent="0.35">
      <c r="A15" s="34"/>
      <c r="B15" s="97" t="str">
        <f ca="1"/>
        <v>Today</v>
      </c>
      <c r="C15" s="98" t="str">
        <f ca="1"/>
        <v>💬</v>
      </c>
      <c r="D15" s="99" t="str">
        <f ca="1"/>
        <v>Maya Chen</v>
      </c>
      <c r="E15" s="100" t="str">
        <f ca="1"/>
        <v>Interviews booked with 6 customers this week. · re: Customer interview round</v>
      </c>
      <c r="F15" s="101" t="str">
        <f ca="1"/>
        <v>Sat 17 Oct, 14:25</v>
      </c>
      <c r="G15" s="34"/>
      <c r="H15" s="19">
        <v>46311.833333333336</v>
      </c>
      <c r="I15" s="7" t="s">
        <v>59</v>
      </c>
      <c r="J15" s="21" t="s">
        <v>211</v>
      </c>
      <c r="K15" s="7" t="s">
        <v>155</v>
      </c>
      <c r="L15" s="34"/>
    </row>
    <row r="16" spans="1:12" ht="30" customHeight="1" x14ac:dyDescent="0.35">
      <c r="A16" s="34"/>
      <c r="B16" s="97" t="str">
        <f ca="1"/>
        <v>Today</v>
      </c>
      <c r="C16" s="98" t="str">
        <f ca="1"/>
        <v>💬</v>
      </c>
      <c r="D16" s="99" t="str">
        <f ca="1"/>
        <v>Ravi Kumar</v>
      </c>
      <c r="E16" s="100" t="str">
        <f ca="1"/>
        <v>Kicked off the Annual Report 2026 project - KPIs due in two weeks. · re: Annual Report 2026</v>
      </c>
      <c r="F16" s="101" t="str">
        <f ca="1"/>
        <v>Sat 17 Oct, 13:00</v>
      </c>
      <c r="G16" s="34"/>
      <c r="H16" s="19">
        <v>46312.458333333336</v>
      </c>
      <c r="I16" s="7" t="s">
        <v>85</v>
      </c>
      <c r="J16" s="21" t="s">
        <v>212</v>
      </c>
      <c r="K16" s="7" t="s">
        <v>141</v>
      </c>
      <c r="L16" s="34"/>
    </row>
    <row r="17" spans="1:12" ht="30" customHeight="1" x14ac:dyDescent="0.35">
      <c r="A17" s="34"/>
      <c r="B17" s="97" t="str">
        <f ca="1"/>
        <v>Today</v>
      </c>
      <c r="C17" s="98" t="str">
        <f ca="1"/>
        <v>💬</v>
      </c>
      <c r="D17" s="99" t="str">
        <f ca="1"/>
        <v>Tom Becker</v>
      </c>
      <c r="E17" s="100" t="str">
        <f ca="1"/>
        <v>Signup flow breaks on small screens - logging details now. · re: QA signup flow on mobile</v>
      </c>
      <c r="F17" s="101" t="str">
        <f ca="1"/>
        <v>Sat 17 Oct, 11:00</v>
      </c>
      <c r="G17" s="34"/>
      <c r="H17" s="19">
        <v>46312.541666666664</v>
      </c>
      <c r="I17" s="7" t="s">
        <v>71</v>
      </c>
      <c r="J17" s="21" t="s">
        <v>213</v>
      </c>
      <c r="K17" s="7" t="s">
        <v>118</v>
      </c>
      <c r="L17" s="34"/>
    </row>
    <row r="18" spans="1:12" ht="30" customHeight="1" x14ac:dyDescent="0.35">
      <c r="A18" s="34"/>
      <c r="B18" s="97" t="str">
        <f ca="1"/>
        <v>Today</v>
      </c>
      <c r="C18" s="98" t="str">
        <f ca="1"/>
        <v>🆕</v>
      </c>
      <c r="D18" s="99" t="str">
        <f ca="1"/>
        <v>Aisha Bello</v>
      </c>
      <c r="E18" s="100" t="str">
        <f ca="1"/>
        <v>added task “Release notes v2.0” to Mobile App v2</v>
      </c>
      <c r="F18" s="101" t="str">
        <f ca="1"/>
        <v>Sat 17 Oct</v>
      </c>
      <c r="G18" s="34"/>
      <c r="H18" s="19">
        <v>46312.600694444445</v>
      </c>
      <c r="I18" s="7" t="s">
        <v>67</v>
      </c>
      <c r="J18" s="21" t="s">
        <v>214</v>
      </c>
      <c r="K18" s="7" t="s">
        <v>187</v>
      </c>
      <c r="L18" s="34"/>
    </row>
    <row r="19" spans="1:12" ht="30" customHeight="1" x14ac:dyDescent="0.35">
      <c r="A19" s="34"/>
      <c r="B19" s="97" t="str">
        <f ca="1"/>
        <v>Today</v>
      </c>
      <c r="C19" s="98" t="str">
        <f ca="1"/>
        <v>🆕</v>
      </c>
      <c r="D19" s="99" t="str">
        <f ca="1"/>
        <v>Sara Ali</v>
      </c>
      <c r="E19" s="100" t="str">
        <f ca="1"/>
        <v>added task “Kickoff &amp; timeline” to Annual Report 2026</v>
      </c>
      <c r="F19" s="101" t="str">
        <f ca="1"/>
        <v>Sat 17 Oct</v>
      </c>
      <c r="G19" s="34"/>
      <c r="H19" s="19">
        <v>46312.638888888891</v>
      </c>
      <c r="I19" s="7" t="s">
        <v>79</v>
      </c>
      <c r="J19" s="21" t="s">
        <v>215</v>
      </c>
      <c r="K19" s="7" t="s">
        <v>137</v>
      </c>
      <c r="L19" s="34"/>
    </row>
    <row r="20" spans="1:12" ht="30" customHeight="1" x14ac:dyDescent="0.35">
      <c r="A20" s="34"/>
      <c r="B20" s="97" t="str">
        <f ca="1"/>
        <v>Today</v>
      </c>
      <c r="C20" s="98" t="str">
        <f ca="1"/>
        <v>🆕</v>
      </c>
      <c r="D20" s="99" t="str">
        <f ca="1"/>
        <v>Sara Ali</v>
      </c>
      <c r="E20" s="100" t="str">
        <f ca="1"/>
        <v>added task “Collect department KPIs” to Annual Report 2026</v>
      </c>
      <c r="F20" s="101" t="str">
        <f ca="1"/>
        <v>Sat 17 Oct</v>
      </c>
      <c r="G20" s="34"/>
      <c r="H20" s="19">
        <v>46312.658333333333</v>
      </c>
      <c r="I20" s="7" t="s">
        <v>75</v>
      </c>
      <c r="J20" s="21" t="s">
        <v>216</v>
      </c>
      <c r="K20" s="7" t="s">
        <v>175</v>
      </c>
      <c r="L20" s="34"/>
    </row>
    <row r="21" spans="1:12" ht="30" customHeight="1" x14ac:dyDescent="0.35">
      <c r="A21" s="34"/>
      <c r="B21" s="97" t="str">
        <f ca="1"/>
        <v>Today</v>
      </c>
      <c r="C21" s="98" t="str">
        <f ca="1"/>
        <v>🆕</v>
      </c>
      <c r="D21" s="99" t="str">
        <f ca="1"/>
        <v>Nora Fischer</v>
      </c>
      <c r="E21" s="100" t="str">
        <f ca="1"/>
        <v>added task “Report design template” to Annual Report 2026</v>
      </c>
      <c r="F21" s="101" t="str">
        <f ca="1"/>
        <v>Sat 17 Oct</v>
      </c>
      <c r="G21" s="34"/>
      <c r="L21" s="34"/>
    </row>
    <row r="22" spans="1:12" ht="30" customHeight="1" x14ac:dyDescent="0.35">
      <c r="A22" s="34"/>
      <c r="B22" s="97" t="str">
        <f ca="1"/>
        <v>Today</v>
      </c>
      <c r="C22" s="98" t="str">
        <f ca="1"/>
        <v>🆕</v>
      </c>
      <c r="D22" s="99" t="str">
        <f ca="1"/>
        <v>Ravi Kumar</v>
      </c>
      <c r="E22" s="100" t="str">
        <f ca="1"/>
        <v>added task “1st Priority task” to ExCon</v>
      </c>
      <c r="F22" s="101" t="str">
        <f ca="1"/>
        <v>Sat 17 Oct</v>
      </c>
      <c r="G22" s="34"/>
      <c r="L22" s="34"/>
    </row>
    <row r="23" spans="1:12" ht="30" customHeight="1" x14ac:dyDescent="0.35">
      <c r="A23" s="34"/>
      <c r="B23" s="97" t="str">
        <f ca="1"/>
        <v>Today</v>
      </c>
      <c r="C23" s="98" t="str">
        <f ca="1"/>
        <v>🚀</v>
      </c>
      <c r="D23" s="99" t="str">
        <f ca="1"/>
        <v>Sara Ali</v>
      </c>
      <c r="E23" s="100" t="str">
        <f ca="1"/>
        <v>launched project “Annual Report 2026” · target 26 Dec</v>
      </c>
      <c r="F23" s="101" t="str">
        <f ca="1"/>
        <v>Sat 17 Oct</v>
      </c>
      <c r="G23" s="34"/>
      <c r="L23" s="34"/>
    </row>
    <row r="24" spans="1:12" ht="30" customHeight="1" x14ac:dyDescent="0.35">
      <c r="A24" s="34"/>
      <c r="B24" s="97" t="str">
        <f ca="1"/>
        <v>Today</v>
      </c>
      <c r="C24" s="98" t="str">
        <f ca="1"/>
        <v>🚀</v>
      </c>
      <c r="D24" s="99" t="str">
        <f ca="1"/>
        <v>Jack Moore</v>
      </c>
      <c r="E24" s="100" t="str">
        <f ca="1"/>
        <v>launched project “ExCon” · target 17 Jan</v>
      </c>
      <c r="F24" s="101" t="str">
        <f ca="1"/>
        <v>Sat 17 Oct</v>
      </c>
      <c r="G24" s="34"/>
      <c r="L24" s="34"/>
    </row>
    <row r="25" spans="1:12" ht="30" customHeight="1" x14ac:dyDescent="0.35">
      <c r="A25" s="34"/>
      <c r="B25" s="97" t="str">
        <f ca="1"/>
        <v>Yesterday</v>
      </c>
      <c r="C25" s="98" t="str">
        <f ca="1"/>
        <v>💬</v>
      </c>
      <c r="D25" s="99" t="str">
        <f ca="1"/>
        <v>Lina Park</v>
      </c>
      <c r="E25" s="100" t="str">
        <f ca="1"/>
        <v>Need final sign-off on the holiday email subject lines by Monday. · re: Holiday email sequence</v>
      </c>
      <c r="F25" s="101" t="str">
        <f ca="1"/>
        <v>Fri 16 Oct, 20:00</v>
      </c>
      <c r="G25" s="34"/>
      <c r="L25" s="34"/>
    </row>
    <row r="26" spans="1:12" ht="30" customHeight="1" x14ac:dyDescent="0.35">
      <c r="A26" s="34"/>
      <c r="B26" s="97" t="str">
        <f ca="1"/>
        <v>Yesterday</v>
      </c>
      <c r="C26" s="98" t="str">
        <f ca="1"/>
        <v>💬</v>
      </c>
      <c r="D26" s="99" t="str">
        <f ca="1"/>
        <v>Omar Haddad</v>
      </c>
      <c r="E26" s="100" t="str">
        <f ca="1"/>
        <v>Offline sync is passing all tests on Android, iOS next. · re: Offline sync engine</v>
      </c>
      <c r="F26" s="101" t="str">
        <f ca="1"/>
        <v>Fri 16 Oct, 16:00</v>
      </c>
      <c r="G26" s="34"/>
      <c r="L26" s="34"/>
    </row>
    <row r="27" spans="1:12" ht="30" customHeight="1" x14ac:dyDescent="0.35">
      <c r="A27" s="34"/>
      <c r="B27" s="97" t="str">
        <f ca="1"/>
        <v>Yesterday</v>
      </c>
      <c r="C27" s="98" t="str">
        <f ca="1"/>
        <v>💬</v>
      </c>
      <c r="D27" s="99" t="str">
        <f ca="1"/>
        <v>Sara Ali</v>
      </c>
      <c r="E27" s="100" t="str">
        <f ca="1"/>
        <v>Welcome to the Team Room! Post updates here so everyone sees them live.</v>
      </c>
      <c r="F27" s="101" t="str">
        <f ca="1"/>
        <v>Fri 16 Oct, 14:00</v>
      </c>
      <c r="G27" s="34"/>
      <c r="L27" s="34"/>
    </row>
    <row r="28" spans="1:12" ht="30" customHeight="1" x14ac:dyDescent="0.35">
      <c r="A28" s="34"/>
      <c r="B28" s="97" t="str">
        <f ca="1"/>
        <v>Yesterday</v>
      </c>
      <c r="C28" s="98" t="str">
        <f ca="1"/>
        <v>🆕</v>
      </c>
      <c r="D28" s="99" t="str">
        <f ca="1"/>
        <v>Sara Ali</v>
      </c>
      <c r="E28" s="100" t="str">
        <f ca="1"/>
        <v>added task “Press release draft” to Q4 Marketing Campaign</v>
      </c>
      <c r="F28" s="101" t="str">
        <f ca="1"/>
        <v>Fri 16 Oct</v>
      </c>
      <c r="G28" s="34"/>
      <c r="L28" s="34"/>
    </row>
    <row r="29" spans="1:12" ht="30" customHeight="1" x14ac:dyDescent="0.35">
      <c r="A29" s="34"/>
      <c r="B29" s="97" t="str">
        <f ca="1"/>
        <v>2 days ago</v>
      </c>
      <c r="C29" s="98" t="str">
        <f ca="1"/>
        <v>🆕</v>
      </c>
      <c r="D29" s="99" t="str">
        <f ca="1"/>
        <v>Sara Ali</v>
      </c>
      <c r="E29" s="100" t="str">
        <f ca="1"/>
        <v>added task “Launch-day checklist” to Website Redesign</v>
      </c>
      <c r="F29" s="101" t="str">
        <f ca="1"/>
        <v>Thu 15 Oct</v>
      </c>
      <c r="G29" s="34"/>
      <c r="L29" s="34"/>
    </row>
    <row r="30" spans="1:12" ht="30" customHeight="1" x14ac:dyDescent="0.35">
      <c r="A30" s="34"/>
      <c r="B30" s="97" t="str">
        <f ca="1"/>
        <v>3 days ago</v>
      </c>
      <c r="C30" s="98" t="str">
        <f ca="1"/>
        <v>🆕</v>
      </c>
      <c r="D30" s="99" t="str">
        <f ca="1"/>
        <v>Aisha Bello</v>
      </c>
      <c r="E30" s="100" t="str">
        <f ca="1"/>
        <v>added task “Help center refresh” to Customer Onboarding</v>
      </c>
      <c r="F30" s="101" t="str">
        <f ca="1"/>
        <v>Wed 14 Oct</v>
      </c>
      <c r="G30" s="34"/>
      <c r="L30" s="34"/>
    </row>
    <row r="31" spans="1:12" ht="30" customHeight="1" x14ac:dyDescent="0.35">
      <c r="A31" s="34"/>
      <c r="B31" s="97" t="str">
        <f ca="1"/>
        <v>4 days ago</v>
      </c>
      <c r="C31" s="98" t="str">
        <f ca="1"/>
        <v>🆕</v>
      </c>
      <c r="D31" s="99" t="str">
        <f ca="1"/>
        <v>Sara Ali</v>
      </c>
      <c r="E31" s="100" t="str">
        <f ca="1"/>
        <v>added task “App store screenshots” to Mobile App v2</v>
      </c>
      <c r="F31" s="101" t="str">
        <f ca="1"/>
        <v>Tue 13 Oct</v>
      </c>
      <c r="G31" s="34"/>
      <c r="L31" s="34"/>
    </row>
    <row r="32" spans="1:12" ht="30" customHeight="1" x14ac:dyDescent="0.35">
      <c r="A32" s="34"/>
      <c r="B32" s="97" t="str">
        <f ca="1"/>
        <v>4 days ago</v>
      </c>
      <c r="C32" s="98" t="str">
        <f ca="1"/>
        <v>🆕</v>
      </c>
      <c r="D32" s="99" t="str">
        <f ca="1"/>
        <v>Sara Ali</v>
      </c>
      <c r="E32" s="100" t="str">
        <f ca="1"/>
        <v>added task “Security awareness training” to General / Ops</v>
      </c>
      <c r="F32" s="101" t="str">
        <f ca="1"/>
        <v>Tue 13 Oct</v>
      </c>
      <c r="G32" s="34"/>
      <c r="L32" s="34"/>
    </row>
    <row r="33" spans="1:12" ht="30" customHeight="1" x14ac:dyDescent="0.35">
      <c r="A33" s="34"/>
      <c r="B33" s="97" t="str">
        <f ca="1"/>
        <v>5 days ago</v>
      </c>
      <c r="C33" s="98" t="str">
        <f ca="1"/>
        <v>🆕</v>
      </c>
      <c r="D33" s="99" t="str">
        <f ca="1"/>
        <v>Sara Ali</v>
      </c>
      <c r="E33" s="100" t="str">
        <f ca="1"/>
        <v>added task “Influencer shortlist” to Q4 Marketing Campaign</v>
      </c>
      <c r="F33" s="101" t="str">
        <f ca="1"/>
        <v>Mon 12 Oct</v>
      </c>
      <c r="G33" s="34"/>
      <c r="L33" s="34"/>
    </row>
    <row r="34" spans="1:12" ht="30" customHeight="1" x14ac:dyDescent="0.35">
      <c r="A34" s="34"/>
      <c r="B34" s="97" t="str">
        <f ca="1"/>
        <v>6 days ago</v>
      </c>
      <c r="C34" s="98" t="str">
        <f ca="1"/>
        <v>🆕</v>
      </c>
      <c r="D34" s="99" t="str">
        <f ca="1"/>
        <v>Nora Fischer</v>
      </c>
      <c r="E34" s="100" t="str">
        <f ca="1"/>
        <v>added task “Accessibility audit” to Website Redesign</v>
      </c>
      <c r="F34" s="101" t="str">
        <f ca="1"/>
        <v>Sun 11 Oct</v>
      </c>
      <c r="G34" s="34"/>
      <c r="L34" s="34"/>
    </row>
    <row r="35" spans="1:12" ht="30" customHeight="1" x14ac:dyDescent="0.35">
      <c r="A35" s="34"/>
      <c r="B35" s="97" t="str">
        <f ca="1"/>
        <v>6 days ago</v>
      </c>
      <c r="C35" s="98" t="str">
        <f ca="1"/>
        <v>🆕</v>
      </c>
      <c r="D35" s="99" t="str">
        <f ca="1"/>
        <v>Sara Ali</v>
      </c>
      <c r="E35" s="100" t="str">
        <f ca="1"/>
        <v>added task “In-app product tour” to Customer Onboarding</v>
      </c>
      <c r="F35" s="101" t="str">
        <f ca="1"/>
        <v>Sun 11 Oct</v>
      </c>
      <c r="G35" s="34"/>
      <c r="L35" s="34"/>
    </row>
    <row r="36" spans="1:12" ht="30" customHeight="1" x14ac:dyDescent="0.35">
      <c r="A36" s="34"/>
      <c r="B36" s="97" t="str">
        <f ca="1"/>
        <v>7 days ago</v>
      </c>
      <c r="C36" s="98" t="str">
        <f ca="1"/>
        <v>🆕</v>
      </c>
      <c r="D36" s="99" t="str">
        <f ca="1"/>
        <v>Maya Chen</v>
      </c>
      <c r="E36" s="100" t="str">
        <f ca="1"/>
        <v>added task “Beta tester feedback round” to Mobile App v2</v>
      </c>
      <c r="F36" s="101" t="str">
        <f ca="1"/>
        <v>Sat 10 Oct</v>
      </c>
      <c r="G36" s="34"/>
      <c r="L36" s="34"/>
    </row>
    <row r="37" spans="1:12" ht="30" customHeight="1" x14ac:dyDescent="0.35">
      <c r="A37" s="34"/>
      <c r="B37" s="97" t="str">
        <f ca="1"/>
        <v>8 days ago</v>
      </c>
      <c r="C37" s="98" t="str">
        <f ca="1"/>
        <v>🆕</v>
      </c>
      <c r="D37" s="99" t="str">
        <f ca="1"/>
        <v>Sara Ali</v>
      </c>
      <c r="E37" s="100" t="str">
        <f ca="1"/>
        <v>added task “Paid ads creative” to Q4 Marketing Campaign</v>
      </c>
      <c r="F37" s="101" t="str">
        <f ca="1"/>
        <v>Fri 9 Oct</v>
      </c>
      <c r="G37" s="34"/>
      <c r="L37" s="34"/>
    </row>
    <row r="38" spans="1:12" ht="30" customHeight="1" x14ac:dyDescent="0.35">
      <c r="A38" s="34"/>
      <c r="B38" s="97" t="str">
        <f ca="1"/>
        <v>8 days ago</v>
      </c>
      <c r="C38" s="98" t="str">
        <f ca="1"/>
        <v>🆕</v>
      </c>
      <c r="D38" s="99" t="str">
        <f ca="1"/>
        <v>Sara Ali</v>
      </c>
      <c r="E38" s="100" t="str">
        <f ca="1"/>
        <v>added task “Customer interview round” to Customer Onboarding</v>
      </c>
      <c r="F38" s="101" t="str">
        <f ca="1"/>
        <v>Fri 9 Oct</v>
      </c>
      <c r="G38" s="34"/>
      <c r="L38" s="34"/>
    </row>
    <row r="39" spans="1:12" ht="30" customHeight="1" x14ac:dyDescent="0.35">
      <c r="A39" s="34"/>
      <c r="B39" s="97" t="str">
        <f ca="1"/>
        <v>9 days ago</v>
      </c>
      <c r="C39" s="98" t="str">
        <f ca="1"/>
        <v>🆕</v>
      </c>
      <c r="D39" s="99" t="str">
        <f ca="1"/>
        <v>Jack Moore</v>
      </c>
      <c r="E39" s="100" t="str">
        <f ca="1"/>
        <v>added task “Set up analytics events” to Website Redesign</v>
      </c>
      <c r="F39" s="101" t="str">
        <f ca="1"/>
        <v>Thu 8 Oct</v>
      </c>
      <c r="G39" s="34"/>
      <c r="L39" s="34"/>
    </row>
    <row r="40" spans="1:12" ht="30" customHeight="1" x14ac:dyDescent="0.35">
      <c r="A40" s="34"/>
      <c r="B40" s="97" t="str">
        <f ca="1"/>
        <v>9 days ago</v>
      </c>
      <c r="C40" s="98" t="str">
        <f ca="1"/>
        <v>🆕</v>
      </c>
      <c r="D40" s="99" t="str">
        <f ca="1"/>
        <v>Sara Ali</v>
      </c>
      <c r="E40" s="100" t="str">
        <f ca="1"/>
        <v>added task “Onboarding success metrics” to Customer Onboarding</v>
      </c>
      <c r="F40" s="101" t="str">
        <f ca="1"/>
        <v>Thu 8 Oct</v>
      </c>
      <c r="G40" s="34"/>
      <c r="L40" s="34"/>
    </row>
    <row r="41" spans="1:12" ht="30" customHeight="1" x14ac:dyDescent="0.35">
      <c r="A41" s="34"/>
      <c r="B41" s="97" t="str">
        <f ca="1"/>
        <v>9 days ago</v>
      </c>
      <c r="C41" s="98" t="str">
        <f ca="1"/>
        <v>🆕</v>
      </c>
      <c r="D41" s="99" t="str">
        <f ca="1"/>
        <v>Sara Ali</v>
      </c>
      <c r="E41" s="100" t="str">
        <f ca="1"/>
        <v>added task “Weekly team sync notes” to General / Ops</v>
      </c>
      <c r="F41" s="101" t="str">
        <f ca="1"/>
        <v>Thu 8 Oct</v>
      </c>
      <c r="G41" s="34"/>
      <c r="L41" s="34"/>
    </row>
    <row r="42" spans="1:12" ht="30" customHeight="1" x14ac:dyDescent="0.35">
      <c r="A42" s="34"/>
      <c r="B42" s="97" t="str">
        <f ca="1"/>
        <v>10 days ago</v>
      </c>
      <c r="C42" s="98" t="str">
        <f ca="1"/>
        <v>🆕</v>
      </c>
      <c r="D42" s="99" t="str">
        <f ca="1"/>
        <v>Tom Becker</v>
      </c>
      <c r="E42" s="100" t="str">
        <f ca="1"/>
        <v>added task “QA signup flow on mobile” to Website Redesign</v>
      </c>
      <c r="F42" s="101" t="str">
        <f ca="1"/>
        <v>Wed 7 Oct</v>
      </c>
      <c r="G42" s="34"/>
      <c r="L42" s="34"/>
    </row>
    <row r="43" spans="1:12" ht="30" customHeight="1" x14ac:dyDescent="0.35">
      <c r="A43" s="34"/>
      <c r="B43" s="97" t="str">
        <f ca="1"/>
        <v>11 days ago</v>
      </c>
      <c r="C43" s="98" t="str">
        <f ca="1"/>
        <v>🆕</v>
      </c>
      <c r="D43" s="99" t="str">
        <f ca="1"/>
        <v>Ravi Kumar</v>
      </c>
      <c r="E43" s="100" t="str">
        <f ca="1"/>
        <v>added task “Vendor contract renewal” to General / Ops</v>
      </c>
      <c r="F43" s="101" t="str">
        <f ca="1"/>
        <v>Tue 6 Oct</v>
      </c>
      <c r="G43" s="34"/>
      <c r="L43" s="34"/>
    </row>
    <row r="44" spans="1:12" ht="30" customHeight="1" x14ac:dyDescent="0.35">
      <c r="A44" s="34"/>
      <c r="B44" s="97" t="str">
        <f ca="1"/>
        <v>12 days ago</v>
      </c>
      <c r="C44" s="98" t="str">
        <f ca="1"/>
        <v>🆕</v>
      </c>
      <c r="D44" s="99" t="str">
        <f ca="1"/>
        <v>Sara Ali</v>
      </c>
      <c r="E44" s="100" t="str">
        <f ca="1"/>
        <v>added task “Landing page A/B test” to Q4 Marketing Campaign</v>
      </c>
      <c r="F44" s="101" t="str">
        <f ca="1"/>
        <v>Mon 5 Oct</v>
      </c>
      <c r="G44" s="34"/>
      <c r="L44" s="34"/>
    </row>
    <row r="45" spans="1:12" ht="30" customHeight="1" x14ac:dyDescent="0.35">
      <c r="A45" s="34"/>
      <c r="B45" s="97" t="str">
        <f ca="1"/>
        <v>12 days ago</v>
      </c>
      <c r="C45" s="98" t="str">
        <f ca="1"/>
        <v>🆕</v>
      </c>
      <c r="D45" s="99" t="str">
        <f ca="1"/>
        <v>Aisha Bello</v>
      </c>
      <c r="E45" s="100" t="str">
        <f ca="1"/>
        <v>added task “Welcome email series” to Customer Onboarding</v>
      </c>
      <c r="F45" s="101" t="str">
        <f ca="1"/>
        <v>Mon 5 Oct</v>
      </c>
      <c r="G45" s="34"/>
      <c r="L45" s="34"/>
    </row>
    <row r="46" spans="1:12" ht="30" customHeight="1" x14ac:dyDescent="0.35">
      <c r="A46" s="34"/>
      <c r="B46" s="97" t="str">
        <f ca="1"/>
        <v>13 days ago</v>
      </c>
      <c r="C46" s="98" t="str">
        <f ca="1"/>
        <v>🆕</v>
      </c>
      <c r="D46" s="99" t="str">
        <f ca="1"/>
        <v>Sara Ali</v>
      </c>
      <c r="E46" s="100" t="str">
        <f ca="1"/>
        <v>added task “Q4 hiring plan” to General / Ops</v>
      </c>
      <c r="F46" s="101" t="str">
        <f ca="1"/>
        <v>Sun 4 Oct</v>
      </c>
      <c r="G46" s="34"/>
      <c r="L46" s="34"/>
    </row>
    <row r="47" spans="1:12" ht="30" customHeight="1" x14ac:dyDescent="0.35">
      <c r="A47" s="34"/>
      <c r="B47" s="97" t="str">
        <f ca="1"/>
        <v>14 days ago</v>
      </c>
      <c r="C47" s="98" t="str">
        <f ca="1"/>
        <v>🆕</v>
      </c>
      <c r="D47" s="99" t="str">
        <f ca="1"/>
        <v>Sara Ali</v>
      </c>
      <c r="E47" s="100" t="str">
        <f ca="1"/>
        <v>added task “Social media calendar” to Q4 Marketing Campaign</v>
      </c>
      <c r="F47" s="101" t="str">
        <f ca="1"/>
        <v>Sat 3 Oct</v>
      </c>
      <c r="G47" s="34"/>
      <c r="L47" s="34"/>
    </row>
    <row r="48" spans="1:12" ht="30" customHeight="1" x14ac:dyDescent="0.35">
      <c r="A48" s="34"/>
      <c r="B48" s="97" t="str">
        <f ca="1"/>
        <v>14 days ago</v>
      </c>
      <c r="C48" s="98" t="str">
        <f ca="1"/>
        <v>🆕</v>
      </c>
      <c r="D48" s="99" t="str">
        <f ca="1"/>
        <v>Jack Moore</v>
      </c>
      <c r="E48" s="100" t="str">
        <f ca="1"/>
        <v>added task “Customer churn analysis” to General / Ops</v>
      </c>
      <c r="F48" s="101" t="str">
        <f ca="1"/>
        <v>Sat 3 Oct</v>
      </c>
      <c r="G48" s="34"/>
      <c r="L48" s="34"/>
    </row>
    <row r="49" spans="1:12" ht="30" customHeight="1" x14ac:dyDescent="0.35">
      <c r="A49" s="34"/>
      <c r="B49" s="97" t="str">
        <f ca="1"/>
        <v>15 days ago</v>
      </c>
      <c r="C49" s="98" t="str">
        <f ca="1"/>
        <v>🆕</v>
      </c>
      <c r="D49" s="99" t="str">
        <f ca="1"/>
        <v>Sara Ali</v>
      </c>
      <c r="E49" s="100" t="str">
        <f ca="1"/>
        <v>added task “Holiday email sequence” to Q4 Marketing Campaign</v>
      </c>
      <c r="F49" s="101" t="str">
        <f ca="1"/>
        <v>Fri 2 Oct</v>
      </c>
      <c r="G49" s="34"/>
      <c r="L49" s="34"/>
    </row>
    <row r="50" spans="1:12" ht="30" customHeight="1" x14ac:dyDescent="0.35">
      <c r="A50" s="34"/>
      <c r="B50" s="97" t="str">
        <f ca="1"/>
        <v>16 days ago</v>
      </c>
      <c r="C50" s="98" t="str">
        <f ca="1"/>
        <v>🆕</v>
      </c>
      <c r="D50" s="99" t="str">
        <f ca="1"/>
        <v>Jack Moore</v>
      </c>
      <c r="E50" s="100" t="str">
        <f ca="1"/>
        <v>added task “Dashboard data clean-up” to General / Ops</v>
      </c>
      <c r="F50" s="101" t="str">
        <f ca="1"/>
        <v>Thu 1 Oct</v>
      </c>
      <c r="G50" s="34"/>
      <c r="L50" s="34"/>
    </row>
    <row r="51" spans="1:12" ht="30" customHeight="1" x14ac:dyDescent="0.35">
      <c r="A51" s="34"/>
      <c r="B51" s="97" t="str">
        <f ca="1"/>
        <v>18 days ago</v>
      </c>
      <c r="C51" s="98" t="str">
        <f ca="1"/>
        <v>🆕</v>
      </c>
      <c r="D51" s="99" t="str">
        <f ca="1"/>
        <v>Sara Ali</v>
      </c>
      <c r="E51" s="100" t="str">
        <f ca="1"/>
        <v>added task “Migrate blog to new CMS” to Website Redesign</v>
      </c>
      <c r="F51" s="101" t="str">
        <f ca="1"/>
        <v>Tue 29 Sep</v>
      </c>
      <c r="G51" s="34"/>
      <c r="L51" s="34"/>
    </row>
    <row r="52" spans="1:12" ht="30" customHeight="1" x14ac:dyDescent="0.35">
      <c r="A52" s="34"/>
      <c r="B52" s="102" t="str">
        <f ca="1"/>
        <v>19 days ago</v>
      </c>
      <c r="C52" s="103" t="str">
        <f ca="1"/>
        <v>🆕</v>
      </c>
      <c r="D52" s="104" t="str">
        <f ca="1"/>
        <v>Maya Chen</v>
      </c>
      <c r="E52" s="105" t="str">
        <f ca="1"/>
        <v>added task “Map current onboarding journey” to Customer Onboarding</v>
      </c>
      <c r="F52" s="106" t="str">
        <f ca="1"/>
        <v>Mon 28 Sep</v>
      </c>
      <c r="G52" s="34"/>
      <c r="L52" s="34"/>
    </row>
    <row r="53" spans="1:12" x14ac:dyDescent="0.35">
      <c r="A53" s="34"/>
      <c r="B53" s="34"/>
      <c r="C53" s="34"/>
      <c r="D53" s="34"/>
      <c r="E53" s="34"/>
      <c r="F53" s="34"/>
      <c r="G53" s="34"/>
      <c r="L53" s="34"/>
    </row>
    <row r="54" spans="1:12" x14ac:dyDescent="0.35">
      <c r="A54" s="34"/>
      <c r="B54" s="34"/>
      <c r="C54" s="34"/>
      <c r="D54" s="34"/>
      <c r="E54" s="34"/>
      <c r="F54" s="34"/>
      <c r="G54" s="34"/>
      <c r="L54" s="34"/>
    </row>
    <row r="55" spans="1:12" x14ac:dyDescent="0.35">
      <c r="A55" s="34"/>
      <c r="B55" s="34"/>
      <c r="C55" s="34"/>
      <c r="D55" s="34"/>
      <c r="E55" s="34"/>
      <c r="F55" s="34"/>
      <c r="G55" s="34"/>
      <c r="L55" s="34"/>
    </row>
    <row r="56" spans="1:12" x14ac:dyDescent="0.35">
      <c r="A56" s="34"/>
      <c r="B56" s="34"/>
      <c r="C56" s="34"/>
      <c r="D56" s="34"/>
      <c r="E56" s="34"/>
      <c r="F56" s="34"/>
      <c r="G56" s="34"/>
      <c r="L56" s="34"/>
    </row>
    <row r="57" spans="1:12" x14ac:dyDescent="0.35">
      <c r="A57" s="34"/>
      <c r="B57" s="34"/>
      <c r="C57" s="34"/>
      <c r="D57" s="34"/>
      <c r="E57" s="34"/>
      <c r="F57" s="34"/>
      <c r="G57" s="34"/>
      <c r="L57" s="34"/>
    </row>
    <row r="58" spans="1:12" x14ac:dyDescent="0.35">
      <c r="A58" s="34"/>
      <c r="B58" s="34"/>
      <c r="C58" s="34"/>
      <c r="D58" s="34"/>
      <c r="E58" s="34"/>
      <c r="F58" s="34"/>
      <c r="G58" s="34"/>
      <c r="L58" s="34"/>
    </row>
    <row r="59" spans="1:12" x14ac:dyDescent="0.35">
      <c r="A59" s="34"/>
      <c r="B59" s="34"/>
      <c r="C59" s="34"/>
      <c r="D59" s="34"/>
      <c r="E59" s="34"/>
      <c r="F59" s="34"/>
      <c r="G59" s="34"/>
      <c r="L59" s="34"/>
    </row>
    <row r="60" spans="1:12" x14ac:dyDescent="0.35">
      <c r="A60" s="34"/>
      <c r="B60" s="34"/>
      <c r="C60" s="34"/>
      <c r="D60" s="34"/>
      <c r="E60" s="34"/>
      <c r="F60" s="34"/>
      <c r="G60" s="34"/>
      <c r="L60" s="34"/>
    </row>
    <row r="61" spans="1:12" x14ac:dyDescent="0.35">
      <c r="A61" s="34"/>
      <c r="B61" s="34"/>
      <c r="C61" s="34"/>
      <c r="D61" s="34"/>
      <c r="E61" s="34"/>
      <c r="F61" s="34"/>
      <c r="G61" s="34"/>
      <c r="L61" s="34"/>
    </row>
    <row r="62" spans="1:12" x14ac:dyDescent="0.35">
      <c r="A62" s="34"/>
      <c r="B62" s="34"/>
      <c r="C62" s="34"/>
      <c r="D62" s="34"/>
      <c r="E62" s="34"/>
      <c r="F62" s="34"/>
      <c r="G62" s="34"/>
      <c r="L62" s="34"/>
    </row>
    <row r="63" spans="1:12" x14ac:dyDescent="0.35">
      <c r="A63" s="34"/>
      <c r="B63" s="34"/>
      <c r="C63" s="34"/>
      <c r="D63" s="34"/>
      <c r="E63" s="34"/>
      <c r="F63" s="34"/>
      <c r="G63" s="34"/>
      <c r="L63" s="34"/>
    </row>
    <row r="64" spans="1:12" x14ac:dyDescent="0.35">
      <c r="A64" s="34"/>
      <c r="B64" s="34"/>
      <c r="C64" s="34"/>
      <c r="D64" s="34"/>
      <c r="E64" s="34"/>
      <c r="F64" s="34"/>
      <c r="G64" s="34"/>
      <c r="L64" s="34"/>
    </row>
    <row r="65" spans="1:12" x14ac:dyDescent="0.35">
      <c r="A65" s="34"/>
      <c r="B65" s="34"/>
      <c r="C65" s="34"/>
      <c r="D65" s="34"/>
      <c r="E65" s="34"/>
      <c r="F65" s="34"/>
      <c r="G65" s="34"/>
      <c r="L65" s="34"/>
    </row>
    <row r="66" spans="1:12" x14ac:dyDescent="0.35">
      <c r="A66" s="34"/>
      <c r="B66" s="34"/>
      <c r="C66" s="34"/>
      <c r="D66" s="34"/>
      <c r="E66" s="34"/>
      <c r="F66" s="34"/>
      <c r="G66" s="34"/>
      <c r="L66" s="34"/>
    </row>
    <row r="67" spans="1:12" x14ac:dyDescent="0.35">
      <c r="A67" s="34"/>
      <c r="B67" s="34"/>
      <c r="C67" s="34"/>
      <c r="D67" s="34"/>
      <c r="E67" s="34"/>
      <c r="F67" s="34"/>
      <c r="G67" s="34"/>
      <c r="L67" s="34"/>
    </row>
    <row r="68" spans="1:12" x14ac:dyDescent="0.35">
      <c r="A68" s="34"/>
      <c r="B68" s="34"/>
      <c r="C68" s="34"/>
      <c r="D68" s="34"/>
      <c r="E68" s="34"/>
      <c r="F68" s="34"/>
      <c r="G68" s="34"/>
      <c r="L68" s="34"/>
    </row>
    <row r="69" spans="1:12" x14ac:dyDescent="0.35">
      <c r="A69" s="34"/>
      <c r="B69" s="34"/>
      <c r="C69" s="34"/>
      <c r="D69" s="34"/>
      <c r="E69" s="34"/>
      <c r="F69" s="34"/>
      <c r="G69" s="34"/>
      <c r="L69" s="34"/>
    </row>
    <row r="70" spans="1:12" x14ac:dyDescent="0.35">
      <c r="A70" s="34"/>
      <c r="B70" s="34"/>
      <c r="C70" s="34"/>
      <c r="D70" s="34"/>
      <c r="E70" s="34"/>
      <c r="F70" s="34"/>
      <c r="G70" s="34"/>
      <c r="L70" s="34"/>
    </row>
    <row r="71" spans="1:12" x14ac:dyDescent="0.35">
      <c r="A71" s="34"/>
      <c r="B71" s="34"/>
      <c r="C71" s="34"/>
      <c r="D71" s="34"/>
      <c r="E71" s="34"/>
      <c r="F71" s="34"/>
      <c r="G71" s="34"/>
      <c r="L71" s="34"/>
    </row>
    <row r="72" spans="1:12" x14ac:dyDescent="0.35">
      <c r="A72" s="34"/>
      <c r="B72" s="34"/>
      <c r="C72" s="34"/>
      <c r="D72" s="34"/>
      <c r="E72" s="34"/>
      <c r="F72" s="34"/>
      <c r="G72" s="34"/>
      <c r="L72" s="34"/>
    </row>
    <row r="73" spans="1:12" x14ac:dyDescent="0.35">
      <c r="A73" s="34"/>
      <c r="B73" s="34"/>
      <c r="C73" s="34"/>
      <c r="D73" s="34"/>
      <c r="E73" s="34"/>
      <c r="F73" s="34"/>
      <c r="G73" s="34"/>
      <c r="L73" s="34"/>
    </row>
    <row r="74" spans="1:12" x14ac:dyDescent="0.35">
      <c r="A74" s="34"/>
      <c r="B74" s="34"/>
      <c r="C74" s="34"/>
      <c r="D74" s="34"/>
      <c r="E74" s="34"/>
      <c r="F74" s="34"/>
      <c r="G74" s="34"/>
      <c r="L74" s="34"/>
    </row>
    <row r="75" spans="1:12" x14ac:dyDescent="0.35">
      <c r="A75" s="34"/>
      <c r="B75" s="34"/>
      <c r="C75" s="34"/>
      <c r="D75" s="34"/>
      <c r="E75" s="34"/>
      <c r="F75" s="34"/>
      <c r="G75" s="34"/>
      <c r="L75" s="34"/>
    </row>
    <row r="76" spans="1:12" x14ac:dyDescent="0.35">
      <c r="A76" s="34"/>
      <c r="B76" s="34"/>
      <c r="C76" s="34"/>
      <c r="D76" s="34"/>
      <c r="E76" s="34"/>
      <c r="F76" s="34"/>
      <c r="G76" s="34"/>
      <c r="L76" s="34"/>
    </row>
    <row r="77" spans="1:12" x14ac:dyDescent="0.35">
      <c r="A77" s="34"/>
      <c r="B77" s="34"/>
      <c r="C77" s="34"/>
      <c r="D77" s="34"/>
      <c r="E77" s="34"/>
      <c r="F77" s="34"/>
      <c r="G77" s="34"/>
      <c r="L77" s="34"/>
    </row>
    <row r="78" spans="1:12" x14ac:dyDescent="0.35">
      <c r="A78" s="34"/>
      <c r="B78" s="34"/>
      <c r="C78" s="34"/>
      <c r="D78" s="34"/>
      <c r="E78" s="34"/>
      <c r="F78" s="34"/>
      <c r="G78" s="34"/>
      <c r="L78" s="34"/>
    </row>
    <row r="79" spans="1:12" x14ac:dyDescent="0.35">
      <c r="A79" s="34"/>
      <c r="B79" s="34"/>
      <c r="C79" s="34"/>
      <c r="D79" s="34"/>
      <c r="E79" s="34"/>
      <c r="F79" s="34"/>
      <c r="G79" s="34"/>
      <c r="L79" s="34"/>
    </row>
    <row r="80" spans="1:12" x14ac:dyDescent="0.35">
      <c r="A80" s="34"/>
      <c r="B80" s="34"/>
      <c r="C80" s="34"/>
      <c r="D80" s="34"/>
      <c r="E80" s="34"/>
      <c r="F80" s="34"/>
      <c r="G80" s="34"/>
      <c r="L80" s="34"/>
    </row>
    <row r="81" spans="1:12" x14ac:dyDescent="0.35">
      <c r="A81" s="34"/>
      <c r="B81" s="34"/>
      <c r="C81" s="34"/>
      <c r="D81" s="34"/>
      <c r="E81" s="34"/>
      <c r="F81" s="34"/>
      <c r="G81" s="34"/>
      <c r="L81" s="34"/>
    </row>
    <row r="82" spans="1:12" x14ac:dyDescent="0.35">
      <c r="A82" s="34"/>
      <c r="B82" s="34"/>
      <c r="C82" s="34"/>
      <c r="D82" s="34"/>
      <c r="E82" s="34"/>
      <c r="F82" s="34"/>
      <c r="G82" s="34"/>
      <c r="L82" s="34"/>
    </row>
    <row r="83" spans="1:12" x14ac:dyDescent="0.35">
      <c r="A83" s="34"/>
      <c r="B83" s="34"/>
      <c r="C83" s="34"/>
      <c r="D83" s="34"/>
      <c r="E83" s="34"/>
      <c r="F83" s="34"/>
      <c r="G83" s="34"/>
      <c r="L83" s="34"/>
    </row>
    <row r="84" spans="1:12" x14ac:dyDescent="0.35">
      <c r="A84" s="34"/>
      <c r="B84" s="34"/>
      <c r="C84" s="34"/>
      <c r="D84" s="34"/>
      <c r="E84" s="34"/>
      <c r="F84" s="34"/>
      <c r="G84" s="34"/>
      <c r="L84" s="34"/>
    </row>
    <row r="85" spans="1:12" x14ac:dyDescent="0.35">
      <c r="A85" s="34"/>
      <c r="B85" s="34"/>
      <c r="C85" s="34"/>
      <c r="D85" s="34"/>
      <c r="E85" s="34"/>
      <c r="F85" s="34"/>
      <c r="G85" s="34"/>
      <c r="L85" s="34"/>
    </row>
    <row r="86" spans="1:12" x14ac:dyDescent="0.35">
      <c r="A86" s="34"/>
      <c r="B86" s="34"/>
      <c r="C86" s="34"/>
      <c r="D86" s="34"/>
      <c r="E86" s="34"/>
      <c r="F86" s="34"/>
      <c r="G86" s="34"/>
      <c r="L86" s="34"/>
    </row>
    <row r="87" spans="1:12" x14ac:dyDescent="0.35">
      <c r="A87" s="34"/>
      <c r="B87" s="34"/>
      <c r="C87" s="34"/>
      <c r="D87" s="34"/>
      <c r="E87" s="34"/>
      <c r="F87" s="34"/>
      <c r="G87" s="34"/>
      <c r="L87" s="34"/>
    </row>
    <row r="88" spans="1:12" x14ac:dyDescent="0.35">
      <c r="A88" s="34"/>
      <c r="B88" s="34"/>
      <c r="C88" s="34"/>
      <c r="D88" s="34"/>
      <c r="E88" s="34"/>
      <c r="F88" s="34"/>
      <c r="G88" s="34"/>
      <c r="L88" s="34"/>
    </row>
    <row r="89" spans="1:12" x14ac:dyDescent="0.35">
      <c r="A89" s="34"/>
      <c r="B89" s="34"/>
      <c r="C89" s="34"/>
      <c r="D89" s="34"/>
      <c r="E89" s="34"/>
      <c r="F89" s="34"/>
      <c r="G89" s="34"/>
      <c r="L89" s="34"/>
    </row>
    <row r="90" spans="1:12" x14ac:dyDescent="0.35">
      <c r="A90" s="34"/>
      <c r="B90" s="34"/>
      <c r="C90" s="34"/>
      <c r="D90" s="34"/>
      <c r="E90" s="34"/>
      <c r="F90" s="34"/>
      <c r="G90" s="34"/>
      <c r="L90" s="34"/>
    </row>
    <row r="91" spans="1:12" x14ac:dyDescent="0.35">
      <c r="A91" s="34"/>
      <c r="B91" s="34"/>
      <c r="C91" s="34"/>
      <c r="D91" s="34"/>
      <c r="E91" s="34"/>
      <c r="F91" s="34"/>
      <c r="G91" s="34"/>
      <c r="L91" s="34"/>
    </row>
    <row r="92" spans="1:12" x14ac:dyDescent="0.35">
      <c r="A92" s="34"/>
      <c r="B92" s="34"/>
      <c r="C92" s="34"/>
      <c r="D92" s="34"/>
      <c r="E92" s="34"/>
      <c r="F92" s="34"/>
      <c r="G92" s="34"/>
      <c r="L92" s="34"/>
    </row>
    <row r="93" spans="1:12" x14ac:dyDescent="0.35">
      <c r="A93" s="34"/>
      <c r="B93" s="34"/>
      <c r="C93" s="34"/>
      <c r="D93" s="34"/>
      <c r="E93" s="34"/>
      <c r="F93" s="34"/>
      <c r="G93" s="34"/>
      <c r="L93" s="34"/>
    </row>
    <row r="94" spans="1:12" x14ac:dyDescent="0.35">
      <c r="A94" s="34"/>
      <c r="B94" s="34"/>
      <c r="C94" s="34"/>
      <c r="D94" s="34"/>
      <c r="E94" s="34"/>
      <c r="F94" s="34"/>
      <c r="G94" s="34"/>
      <c r="L94" s="34"/>
    </row>
    <row r="95" spans="1:12" x14ac:dyDescent="0.35">
      <c r="A95" s="34"/>
      <c r="B95" s="34"/>
      <c r="C95" s="34"/>
      <c r="D95" s="34"/>
      <c r="E95" s="34"/>
      <c r="F95" s="34"/>
      <c r="G95" s="34"/>
      <c r="L95" s="34"/>
    </row>
    <row r="96" spans="1:12" x14ac:dyDescent="0.35">
      <c r="A96" s="34"/>
      <c r="B96" s="34"/>
      <c r="C96" s="34"/>
      <c r="D96" s="34"/>
      <c r="E96" s="34"/>
      <c r="F96" s="34"/>
      <c r="G96" s="34"/>
      <c r="L96" s="34"/>
    </row>
    <row r="97" spans="1:12" x14ac:dyDescent="0.35">
      <c r="A97" s="34"/>
      <c r="B97" s="34"/>
      <c r="C97" s="34"/>
      <c r="D97" s="34"/>
      <c r="E97" s="34"/>
      <c r="F97" s="34"/>
      <c r="G97" s="34"/>
      <c r="L97" s="34"/>
    </row>
    <row r="98" spans="1:12" x14ac:dyDescent="0.35">
      <c r="A98" s="34"/>
      <c r="B98" s="34"/>
      <c r="C98" s="34"/>
      <c r="D98" s="34"/>
      <c r="E98" s="34"/>
      <c r="F98" s="34"/>
      <c r="G98" s="34"/>
      <c r="L98" s="34"/>
    </row>
    <row r="99" spans="1:12" x14ac:dyDescent="0.35">
      <c r="A99" s="34"/>
      <c r="B99" s="34"/>
      <c r="C99" s="34"/>
      <c r="D99" s="34"/>
      <c r="E99" s="34"/>
      <c r="F99" s="34"/>
      <c r="G99" s="34"/>
      <c r="L99" s="34"/>
    </row>
    <row r="100" spans="1:12" x14ac:dyDescent="0.35">
      <c r="A100" s="34"/>
      <c r="B100" s="34"/>
      <c r="C100" s="34"/>
      <c r="D100" s="34"/>
      <c r="E100" s="34"/>
      <c r="F100" s="34"/>
      <c r="G100" s="34"/>
      <c r="L100" s="34"/>
    </row>
    <row r="101" spans="1:12" x14ac:dyDescent="0.35">
      <c r="A101" s="34"/>
      <c r="B101" s="34"/>
      <c r="C101" s="34"/>
      <c r="D101" s="34"/>
      <c r="E101" s="34"/>
      <c r="F101" s="34"/>
      <c r="G101" s="34"/>
      <c r="L101" s="34"/>
    </row>
    <row r="102" spans="1:12" x14ac:dyDescent="0.35">
      <c r="A102" s="34"/>
      <c r="B102" s="34"/>
      <c r="C102" s="34"/>
      <c r="D102" s="34"/>
      <c r="E102" s="34"/>
      <c r="F102" s="34"/>
      <c r="G102" s="34"/>
      <c r="L102" s="34"/>
    </row>
    <row r="103" spans="1:12" x14ac:dyDescent="0.35">
      <c r="A103" s="34"/>
      <c r="B103" s="34"/>
      <c r="C103" s="34"/>
      <c r="D103" s="34"/>
      <c r="E103" s="34"/>
      <c r="F103" s="34"/>
      <c r="G103" s="34"/>
      <c r="L103" s="34"/>
    </row>
    <row r="104" spans="1:12" x14ac:dyDescent="0.35">
      <c r="A104" s="34"/>
      <c r="B104" s="34"/>
      <c r="C104" s="34"/>
      <c r="D104" s="34"/>
      <c r="E104" s="34"/>
      <c r="F104" s="34"/>
      <c r="G104" s="34"/>
      <c r="L104" s="34"/>
    </row>
    <row r="105" spans="1:12" x14ac:dyDescent="0.35">
      <c r="A105" s="34"/>
      <c r="B105" s="34"/>
      <c r="C105" s="34"/>
      <c r="D105" s="34"/>
      <c r="E105" s="34"/>
      <c r="F105" s="34"/>
      <c r="G105" s="34"/>
      <c r="L105" s="34"/>
    </row>
    <row r="106" spans="1:12" x14ac:dyDescent="0.35">
      <c r="A106" s="34"/>
      <c r="B106" s="34"/>
      <c r="C106" s="34"/>
      <c r="D106" s="34"/>
      <c r="E106" s="34"/>
      <c r="F106" s="34"/>
      <c r="G106" s="34"/>
      <c r="L106" s="34"/>
    </row>
    <row r="107" spans="1:12" x14ac:dyDescent="0.35">
      <c r="A107" s="34"/>
      <c r="B107" s="34"/>
      <c r="C107" s="34"/>
      <c r="D107" s="34"/>
      <c r="E107" s="34"/>
      <c r="F107" s="34"/>
      <c r="G107" s="34"/>
      <c r="L107" s="34"/>
    </row>
    <row r="108" spans="1:12" x14ac:dyDescent="0.35">
      <c r="A108" s="34"/>
      <c r="B108" s="34"/>
      <c r="C108" s="34"/>
      <c r="D108" s="34"/>
      <c r="E108" s="34"/>
      <c r="F108" s="34"/>
      <c r="G108" s="34"/>
      <c r="L108" s="34"/>
    </row>
    <row r="109" spans="1:12" x14ac:dyDescent="0.35">
      <c r="A109" s="34"/>
      <c r="B109" s="34"/>
      <c r="C109" s="34"/>
      <c r="D109" s="34"/>
      <c r="E109" s="34"/>
      <c r="F109" s="34"/>
      <c r="G109" s="34"/>
      <c r="L109" s="34"/>
    </row>
    <row r="110" spans="1:12" x14ac:dyDescent="0.35">
      <c r="A110" s="34"/>
      <c r="B110" s="34"/>
      <c r="C110" s="34"/>
      <c r="D110" s="34"/>
      <c r="E110" s="34"/>
      <c r="F110" s="34"/>
      <c r="G110" s="34"/>
      <c r="L110" s="34"/>
    </row>
    <row r="111" spans="1:12" x14ac:dyDescent="0.35">
      <c r="A111" s="34"/>
      <c r="B111" s="34"/>
      <c r="C111" s="34"/>
      <c r="D111" s="34"/>
      <c r="E111" s="34"/>
      <c r="F111" s="34"/>
      <c r="G111" s="34"/>
      <c r="L111" s="34"/>
    </row>
    <row r="112" spans="1:12" x14ac:dyDescent="0.35">
      <c r="A112" s="34"/>
      <c r="B112" s="34"/>
      <c r="C112" s="34"/>
      <c r="D112" s="34"/>
      <c r="E112" s="34"/>
      <c r="F112" s="34"/>
      <c r="G112" s="34"/>
      <c r="L112" s="34"/>
    </row>
    <row r="113" spans="1:12" x14ac:dyDescent="0.35">
      <c r="A113" s="34"/>
      <c r="B113" s="34"/>
      <c r="C113" s="34"/>
      <c r="D113" s="34"/>
      <c r="E113" s="34"/>
      <c r="F113" s="34"/>
      <c r="G113" s="34"/>
      <c r="L113" s="34"/>
    </row>
    <row r="114" spans="1:12" x14ac:dyDescent="0.35">
      <c r="A114" s="34"/>
      <c r="B114" s="34"/>
      <c r="C114" s="34"/>
      <c r="D114" s="34"/>
      <c r="E114" s="34"/>
      <c r="F114" s="34"/>
      <c r="G114" s="34"/>
      <c r="L114" s="34"/>
    </row>
    <row r="115" spans="1:12" x14ac:dyDescent="0.35">
      <c r="A115" s="34"/>
      <c r="B115" s="34"/>
      <c r="C115" s="34"/>
      <c r="D115" s="34"/>
      <c r="E115" s="34"/>
      <c r="F115" s="34"/>
      <c r="G115" s="34"/>
      <c r="L115" s="34"/>
    </row>
    <row r="116" spans="1:12" x14ac:dyDescent="0.35">
      <c r="A116" s="34"/>
      <c r="B116" s="34"/>
      <c r="C116" s="34"/>
      <c r="D116" s="34"/>
      <c r="E116" s="34"/>
      <c r="F116" s="34"/>
      <c r="G116" s="34"/>
      <c r="L116" s="34"/>
    </row>
    <row r="117" spans="1:12" x14ac:dyDescent="0.35">
      <c r="A117" s="34"/>
      <c r="B117" s="34"/>
      <c r="C117" s="34"/>
      <c r="D117" s="34"/>
      <c r="E117" s="34"/>
      <c r="F117" s="34"/>
      <c r="G117" s="34"/>
      <c r="L117" s="34"/>
    </row>
    <row r="118" spans="1:12" x14ac:dyDescent="0.35">
      <c r="A118" s="34"/>
      <c r="B118" s="34"/>
      <c r="C118" s="34"/>
      <c r="D118" s="34"/>
      <c r="E118" s="34"/>
      <c r="F118" s="34"/>
      <c r="G118" s="34"/>
      <c r="L118" s="34"/>
    </row>
    <row r="119" spans="1:12" x14ac:dyDescent="0.35">
      <c r="A119" s="34"/>
      <c r="B119" s="34"/>
      <c r="C119" s="34"/>
      <c r="D119" s="34"/>
      <c r="E119" s="34"/>
      <c r="F119" s="34"/>
      <c r="G119" s="34"/>
      <c r="L119" s="34"/>
    </row>
    <row r="120" spans="1:12" x14ac:dyDescent="0.35">
      <c r="A120" s="34"/>
      <c r="B120" s="34"/>
      <c r="C120" s="34"/>
      <c r="D120" s="34"/>
      <c r="E120" s="34"/>
      <c r="F120" s="34"/>
      <c r="G120" s="34"/>
      <c r="L120" s="34"/>
    </row>
    <row r="121" spans="1:12" x14ac:dyDescent="0.35">
      <c r="A121" s="34"/>
      <c r="B121" s="34"/>
      <c r="C121" s="34"/>
      <c r="D121" s="34"/>
      <c r="E121" s="34"/>
      <c r="F121" s="34"/>
      <c r="G121" s="34"/>
      <c r="L121" s="34"/>
    </row>
    <row r="122" spans="1:12" x14ac:dyDescent="0.35">
      <c r="A122" s="34"/>
      <c r="B122" s="34"/>
      <c r="C122" s="34"/>
      <c r="D122" s="34"/>
      <c r="E122" s="34"/>
      <c r="F122" s="34"/>
      <c r="G122" s="34"/>
      <c r="L122" s="34"/>
    </row>
    <row r="123" spans="1:12" x14ac:dyDescent="0.35">
      <c r="A123" s="34"/>
      <c r="B123" s="34"/>
      <c r="C123" s="34"/>
      <c r="D123" s="34"/>
      <c r="E123" s="34"/>
      <c r="F123" s="34"/>
      <c r="G123" s="34"/>
      <c r="L123" s="34"/>
    </row>
    <row r="124" spans="1:12" x14ac:dyDescent="0.35">
      <c r="A124" s="34"/>
      <c r="B124" s="34"/>
      <c r="C124" s="34"/>
      <c r="D124" s="34"/>
      <c r="E124" s="34"/>
      <c r="F124" s="34"/>
      <c r="G124" s="34"/>
      <c r="L124" s="34"/>
    </row>
    <row r="125" spans="1:12" x14ac:dyDescent="0.35">
      <c r="A125" s="34"/>
      <c r="B125" s="34"/>
      <c r="C125" s="34"/>
      <c r="D125" s="34"/>
      <c r="E125" s="34"/>
      <c r="F125" s="34"/>
      <c r="G125" s="34"/>
      <c r="L125" s="34"/>
    </row>
    <row r="126" spans="1:12" x14ac:dyDescent="0.35">
      <c r="A126" s="34"/>
      <c r="B126" s="34"/>
      <c r="C126" s="34"/>
      <c r="D126" s="34"/>
      <c r="E126" s="34"/>
      <c r="F126" s="34"/>
      <c r="G126" s="34"/>
      <c r="L126" s="34"/>
    </row>
    <row r="127" spans="1:12" x14ac:dyDescent="0.35">
      <c r="A127" s="34"/>
      <c r="B127" s="34"/>
      <c r="C127" s="34"/>
      <c r="D127" s="34"/>
      <c r="E127" s="34"/>
      <c r="F127" s="34"/>
      <c r="G127" s="34"/>
      <c r="L127" s="34"/>
    </row>
    <row r="128" spans="1:12" x14ac:dyDescent="0.35">
      <c r="A128" s="34"/>
      <c r="B128" s="34"/>
      <c r="C128" s="34"/>
      <c r="D128" s="34"/>
      <c r="E128" s="34"/>
      <c r="F128" s="34"/>
      <c r="G128" s="34"/>
      <c r="L128" s="34"/>
    </row>
    <row r="129" spans="1:12" x14ac:dyDescent="0.35">
      <c r="A129" s="34"/>
      <c r="B129" s="34"/>
      <c r="C129" s="34"/>
      <c r="D129" s="34"/>
      <c r="E129" s="34"/>
      <c r="F129" s="34"/>
      <c r="G129" s="34"/>
      <c r="L129" s="34"/>
    </row>
    <row r="130" spans="1:12" x14ac:dyDescent="0.35">
      <c r="A130" s="34"/>
      <c r="B130" s="34"/>
      <c r="C130" s="34"/>
      <c r="D130" s="34"/>
      <c r="E130" s="34"/>
      <c r="F130" s="34"/>
      <c r="G130" s="34"/>
      <c r="L130" s="34"/>
    </row>
    <row r="131" spans="1:12" x14ac:dyDescent="0.35">
      <c r="A131" s="34"/>
      <c r="B131" s="34"/>
      <c r="C131" s="34"/>
      <c r="D131" s="34"/>
      <c r="E131" s="34"/>
      <c r="F131" s="34"/>
      <c r="G131" s="34"/>
      <c r="L131" s="34"/>
    </row>
    <row r="132" spans="1:12" x14ac:dyDescent="0.35">
      <c r="A132" s="34"/>
      <c r="B132" s="34"/>
      <c r="C132" s="34"/>
      <c r="D132" s="34"/>
      <c r="E132" s="34"/>
      <c r="F132" s="34"/>
      <c r="G132" s="34"/>
      <c r="L132" s="34"/>
    </row>
    <row r="133" spans="1:12" x14ac:dyDescent="0.35">
      <c r="A133" s="34"/>
      <c r="B133" s="34"/>
      <c r="C133" s="34"/>
      <c r="D133" s="34"/>
      <c r="E133" s="34"/>
      <c r="F133" s="34"/>
      <c r="G133" s="34"/>
      <c r="L133" s="34"/>
    </row>
    <row r="134" spans="1:12" x14ac:dyDescent="0.35">
      <c r="A134" s="34"/>
      <c r="B134" s="34"/>
      <c r="C134" s="34"/>
      <c r="D134" s="34"/>
      <c r="E134" s="34"/>
      <c r="F134" s="34"/>
      <c r="G134" s="34"/>
      <c r="L134" s="34"/>
    </row>
    <row r="135" spans="1:12" x14ac:dyDescent="0.35">
      <c r="A135" s="34"/>
      <c r="B135" s="34"/>
      <c r="C135" s="34"/>
      <c r="D135" s="34"/>
      <c r="E135" s="34"/>
      <c r="F135" s="34"/>
      <c r="G135" s="34"/>
      <c r="L135" s="34"/>
    </row>
    <row r="136" spans="1:12" x14ac:dyDescent="0.35">
      <c r="A136" s="34"/>
      <c r="B136" s="34"/>
      <c r="C136" s="34"/>
      <c r="D136" s="34"/>
      <c r="E136" s="34"/>
      <c r="F136" s="34"/>
      <c r="G136" s="34"/>
      <c r="L136" s="34"/>
    </row>
    <row r="137" spans="1:12" x14ac:dyDescent="0.35">
      <c r="A137" s="34"/>
      <c r="B137" s="34"/>
      <c r="C137" s="34"/>
      <c r="D137" s="34"/>
      <c r="E137" s="34"/>
      <c r="F137" s="34"/>
      <c r="G137" s="34"/>
      <c r="L137" s="34"/>
    </row>
    <row r="138" spans="1:12" x14ac:dyDescent="0.35">
      <c r="A138" s="34"/>
      <c r="B138" s="34"/>
      <c r="C138" s="34"/>
      <c r="D138" s="34"/>
      <c r="E138" s="34"/>
      <c r="F138" s="34"/>
      <c r="G138" s="34"/>
      <c r="L138" s="34"/>
    </row>
    <row r="139" spans="1:12" x14ac:dyDescent="0.35">
      <c r="A139" s="34"/>
      <c r="B139" s="34"/>
      <c r="C139" s="34"/>
      <c r="D139" s="34"/>
      <c r="E139" s="34"/>
      <c r="F139" s="34"/>
      <c r="G139" s="34"/>
      <c r="L139" s="34"/>
    </row>
    <row r="140" spans="1:12" x14ac:dyDescent="0.35">
      <c r="A140" s="34"/>
      <c r="B140" s="34"/>
      <c r="C140" s="34"/>
      <c r="D140" s="34"/>
      <c r="E140" s="34"/>
      <c r="F140" s="34"/>
      <c r="G140" s="34"/>
      <c r="L140" s="34"/>
    </row>
    <row r="141" spans="1:12" x14ac:dyDescent="0.35">
      <c r="A141" s="34"/>
      <c r="B141" s="34"/>
      <c r="C141" s="34"/>
      <c r="D141" s="34"/>
      <c r="E141" s="34"/>
      <c r="F141" s="34"/>
      <c r="G141" s="34"/>
      <c r="L141" s="34"/>
    </row>
    <row r="142" spans="1:12" x14ac:dyDescent="0.35">
      <c r="A142" s="34"/>
      <c r="B142" s="34"/>
      <c r="C142" s="34"/>
      <c r="D142" s="34"/>
      <c r="E142" s="34"/>
      <c r="F142" s="34"/>
      <c r="G142" s="34"/>
      <c r="L142" s="34"/>
    </row>
    <row r="143" spans="1:12" x14ac:dyDescent="0.35">
      <c r="A143" s="34"/>
      <c r="B143" s="34"/>
      <c r="C143" s="34"/>
      <c r="D143" s="34"/>
      <c r="E143" s="34"/>
      <c r="F143" s="34"/>
      <c r="G143" s="34"/>
      <c r="L143" s="34"/>
    </row>
    <row r="144" spans="1:12" x14ac:dyDescent="0.35">
      <c r="A144" s="34"/>
      <c r="B144" s="34"/>
      <c r="C144" s="34"/>
      <c r="D144" s="34"/>
      <c r="E144" s="34"/>
      <c r="F144" s="34"/>
      <c r="G144" s="34"/>
      <c r="L144" s="34"/>
    </row>
    <row r="145" spans="1:12" x14ac:dyDescent="0.35">
      <c r="A145" s="34"/>
      <c r="B145" s="34"/>
      <c r="C145" s="34"/>
      <c r="D145" s="34"/>
      <c r="E145" s="34"/>
      <c r="F145" s="34"/>
      <c r="G145" s="34"/>
      <c r="L145" s="34"/>
    </row>
    <row r="146" spans="1:12" x14ac:dyDescent="0.35">
      <c r="A146" s="34"/>
      <c r="B146" s="34"/>
      <c r="C146" s="34"/>
      <c r="D146" s="34"/>
      <c r="E146" s="34"/>
      <c r="F146" s="34"/>
      <c r="G146" s="34"/>
      <c r="L146" s="34"/>
    </row>
    <row r="147" spans="1:12" x14ac:dyDescent="0.35">
      <c r="A147" s="34"/>
      <c r="B147" s="34"/>
      <c r="C147" s="34"/>
      <c r="D147" s="34"/>
      <c r="E147" s="34"/>
      <c r="F147" s="34"/>
      <c r="G147" s="34"/>
      <c r="L147" s="34"/>
    </row>
    <row r="148" spans="1:12" x14ac:dyDescent="0.35">
      <c r="A148" s="34"/>
      <c r="B148" s="34"/>
      <c r="C148" s="34"/>
      <c r="D148" s="34"/>
      <c r="E148" s="34"/>
      <c r="F148" s="34"/>
      <c r="G148" s="34"/>
      <c r="L148" s="34"/>
    </row>
    <row r="149" spans="1:12" x14ac:dyDescent="0.35">
      <c r="A149" s="34"/>
      <c r="B149" s="34"/>
      <c r="C149" s="34"/>
      <c r="D149" s="34"/>
      <c r="E149" s="34"/>
      <c r="F149" s="34"/>
      <c r="G149" s="34"/>
      <c r="L149" s="34"/>
    </row>
    <row r="150" spans="1:12" x14ac:dyDescent="0.35">
      <c r="A150" s="34"/>
      <c r="B150" s="34"/>
      <c r="C150" s="34"/>
      <c r="D150" s="34"/>
      <c r="E150" s="34"/>
      <c r="F150" s="34"/>
      <c r="G150" s="34"/>
      <c r="L150" s="34"/>
    </row>
    <row r="151" spans="1:12" x14ac:dyDescent="0.35">
      <c r="A151" s="34"/>
      <c r="B151" s="34"/>
      <c r="C151" s="34"/>
      <c r="D151" s="34"/>
      <c r="E151" s="34"/>
      <c r="F151" s="34"/>
      <c r="G151" s="34"/>
      <c r="L151" s="34"/>
    </row>
    <row r="152" spans="1:12" x14ac:dyDescent="0.35">
      <c r="A152" s="34"/>
      <c r="B152" s="34"/>
      <c r="C152" s="34"/>
      <c r="D152" s="34"/>
      <c r="E152" s="34"/>
      <c r="F152" s="34"/>
      <c r="G152" s="34"/>
      <c r="L152" s="34"/>
    </row>
    <row r="153" spans="1:12" x14ac:dyDescent="0.35">
      <c r="A153" s="34"/>
      <c r="B153" s="34"/>
      <c r="C153" s="34"/>
      <c r="D153" s="34"/>
      <c r="E153" s="34"/>
      <c r="F153" s="34"/>
      <c r="G153" s="34"/>
      <c r="L153" s="34"/>
    </row>
    <row r="154" spans="1:12" x14ac:dyDescent="0.35">
      <c r="A154" s="34"/>
      <c r="B154" s="34"/>
      <c r="C154" s="34"/>
      <c r="D154" s="34"/>
      <c r="E154" s="34"/>
      <c r="F154" s="34"/>
      <c r="G154" s="34"/>
      <c r="L154" s="34"/>
    </row>
    <row r="155" spans="1:12" x14ac:dyDescent="0.35">
      <c r="A155" s="34"/>
      <c r="B155" s="34"/>
      <c r="C155" s="34"/>
      <c r="D155" s="34"/>
      <c r="E155" s="34"/>
      <c r="F155" s="34"/>
      <c r="G155" s="34"/>
      <c r="L155" s="34"/>
    </row>
    <row r="156" spans="1:12" x14ac:dyDescent="0.35">
      <c r="A156" s="34"/>
      <c r="B156" s="34"/>
      <c r="C156" s="34"/>
      <c r="D156" s="34"/>
      <c r="E156" s="34"/>
      <c r="F156" s="34"/>
      <c r="G156" s="34"/>
      <c r="L156" s="34"/>
    </row>
    <row r="157" spans="1:12" x14ac:dyDescent="0.35">
      <c r="A157" s="34"/>
      <c r="B157" s="34"/>
      <c r="C157" s="34"/>
      <c r="D157" s="34"/>
      <c r="E157" s="34"/>
      <c r="F157" s="34"/>
      <c r="G157" s="34"/>
      <c r="L157" s="34"/>
    </row>
    <row r="158" spans="1:12" x14ac:dyDescent="0.35">
      <c r="A158" s="34"/>
      <c r="B158" s="34"/>
      <c r="C158" s="34"/>
      <c r="D158" s="34"/>
      <c r="E158" s="34"/>
      <c r="F158" s="34"/>
      <c r="G158" s="34"/>
      <c r="L158" s="34"/>
    </row>
    <row r="159" spans="1:12" x14ac:dyDescent="0.35">
      <c r="A159" s="34"/>
      <c r="B159" s="34"/>
      <c r="C159" s="34"/>
      <c r="D159" s="34"/>
      <c r="E159" s="34"/>
      <c r="F159" s="34"/>
      <c r="G159" s="34"/>
      <c r="L159" s="34"/>
    </row>
    <row r="160" spans="1:12" x14ac:dyDescent="0.35">
      <c r="A160" s="34"/>
      <c r="B160" s="34"/>
      <c r="C160" s="34"/>
      <c r="D160" s="34"/>
      <c r="E160" s="34"/>
      <c r="F160" s="34"/>
      <c r="G160" s="34"/>
      <c r="L160" s="34"/>
    </row>
    <row r="161" spans="1:12" x14ac:dyDescent="0.35">
      <c r="A161" s="34"/>
      <c r="B161" s="34"/>
      <c r="C161" s="34"/>
      <c r="D161" s="34"/>
      <c r="E161" s="34"/>
      <c r="F161" s="34"/>
      <c r="G161" s="34"/>
      <c r="L161" s="34"/>
    </row>
    <row r="162" spans="1:12" x14ac:dyDescent="0.35">
      <c r="A162" s="34"/>
      <c r="B162" s="34"/>
      <c r="C162" s="34"/>
      <c r="D162" s="34"/>
      <c r="E162" s="34"/>
      <c r="F162" s="34"/>
      <c r="G162" s="34"/>
      <c r="L162" s="34"/>
    </row>
    <row r="163" spans="1:12" x14ac:dyDescent="0.35">
      <c r="A163" s="34"/>
      <c r="B163" s="34"/>
      <c r="C163" s="34"/>
      <c r="D163" s="34"/>
      <c r="E163" s="34"/>
      <c r="F163" s="34"/>
      <c r="G163" s="34"/>
      <c r="L163" s="34"/>
    </row>
    <row r="164" spans="1:12" x14ac:dyDescent="0.35">
      <c r="A164" s="34"/>
      <c r="B164" s="34"/>
      <c r="C164" s="34"/>
      <c r="D164" s="34"/>
      <c r="E164" s="34"/>
      <c r="F164" s="34"/>
      <c r="G164" s="34"/>
      <c r="L164" s="34"/>
    </row>
    <row r="165" spans="1:12" x14ac:dyDescent="0.35">
      <c r="A165" s="34"/>
      <c r="B165" s="34"/>
      <c r="C165" s="34"/>
      <c r="D165" s="34"/>
      <c r="E165" s="34"/>
      <c r="F165" s="34"/>
      <c r="G165" s="34"/>
      <c r="L165" s="34"/>
    </row>
    <row r="166" spans="1:12" x14ac:dyDescent="0.35">
      <c r="A166" s="34"/>
      <c r="B166" s="34"/>
      <c r="C166" s="34"/>
      <c r="D166" s="34"/>
      <c r="E166" s="34"/>
      <c r="F166" s="34"/>
      <c r="G166" s="34"/>
      <c r="L166" s="34"/>
    </row>
    <row r="167" spans="1:12" x14ac:dyDescent="0.35">
      <c r="A167" s="34"/>
      <c r="B167" s="34"/>
      <c r="C167" s="34"/>
      <c r="D167" s="34"/>
      <c r="E167" s="34"/>
      <c r="F167" s="34"/>
      <c r="G167" s="34"/>
      <c r="L167" s="34"/>
    </row>
    <row r="168" spans="1:12" x14ac:dyDescent="0.35">
      <c r="A168" s="34"/>
      <c r="B168" s="34"/>
      <c r="C168" s="34"/>
      <c r="D168" s="34"/>
      <c r="E168" s="34"/>
      <c r="F168" s="34"/>
      <c r="G168" s="34"/>
      <c r="L168" s="34"/>
    </row>
    <row r="169" spans="1:12" x14ac:dyDescent="0.35">
      <c r="A169" s="34"/>
      <c r="B169" s="34"/>
      <c r="C169" s="34"/>
      <c r="D169" s="34"/>
      <c r="E169" s="34"/>
      <c r="F169" s="34"/>
      <c r="G169" s="34"/>
      <c r="L169" s="34"/>
    </row>
    <row r="170" spans="1:12" x14ac:dyDescent="0.35">
      <c r="A170" s="34"/>
      <c r="B170" s="34"/>
      <c r="C170" s="34"/>
      <c r="D170" s="34"/>
      <c r="E170" s="34"/>
      <c r="F170" s="34"/>
      <c r="G170" s="34"/>
      <c r="L170" s="34"/>
    </row>
    <row r="171" spans="1:12" x14ac:dyDescent="0.35">
      <c r="A171" s="34"/>
      <c r="B171" s="34"/>
      <c r="C171" s="34"/>
      <c r="D171" s="34"/>
      <c r="E171" s="34"/>
      <c r="F171" s="34"/>
      <c r="G171" s="34"/>
      <c r="L171" s="34"/>
    </row>
    <row r="172" spans="1:12" x14ac:dyDescent="0.35">
      <c r="A172" s="34"/>
      <c r="B172" s="34"/>
      <c r="C172" s="34"/>
      <c r="D172" s="34"/>
      <c r="E172" s="34"/>
      <c r="F172" s="34"/>
      <c r="G172" s="34"/>
      <c r="L172" s="34"/>
    </row>
    <row r="173" spans="1:12" x14ac:dyDescent="0.35">
      <c r="A173" s="34"/>
      <c r="B173" s="34"/>
      <c r="C173" s="34"/>
      <c r="D173" s="34"/>
      <c r="E173" s="34"/>
      <c r="F173" s="34"/>
      <c r="G173" s="34"/>
      <c r="L173" s="34"/>
    </row>
    <row r="174" spans="1:12" x14ac:dyDescent="0.35">
      <c r="A174" s="34"/>
      <c r="B174" s="34"/>
      <c r="C174" s="34"/>
      <c r="D174" s="34"/>
      <c r="E174" s="34"/>
      <c r="F174" s="34"/>
      <c r="G174" s="34"/>
      <c r="L174" s="34"/>
    </row>
    <row r="175" spans="1:12" x14ac:dyDescent="0.35">
      <c r="A175" s="34"/>
      <c r="B175" s="34"/>
      <c r="C175" s="34"/>
      <c r="D175" s="34"/>
      <c r="E175" s="34"/>
      <c r="F175" s="34"/>
      <c r="G175" s="34"/>
      <c r="L175" s="34"/>
    </row>
    <row r="176" spans="1:12" x14ac:dyDescent="0.35">
      <c r="A176" s="34"/>
      <c r="B176" s="34"/>
      <c r="C176" s="34"/>
      <c r="D176" s="34"/>
      <c r="E176" s="34"/>
      <c r="F176" s="34"/>
      <c r="G176" s="34"/>
      <c r="L176" s="34"/>
    </row>
    <row r="177" spans="1:12" x14ac:dyDescent="0.35">
      <c r="A177" s="34"/>
      <c r="B177" s="34"/>
      <c r="C177" s="34"/>
      <c r="D177" s="34"/>
      <c r="E177" s="34"/>
      <c r="F177" s="34"/>
      <c r="G177" s="34"/>
      <c r="L177" s="34"/>
    </row>
    <row r="178" spans="1:12" x14ac:dyDescent="0.35">
      <c r="A178" s="34"/>
      <c r="B178" s="34"/>
      <c r="C178" s="34"/>
      <c r="D178" s="34"/>
      <c r="E178" s="34"/>
      <c r="F178" s="34"/>
      <c r="G178" s="34"/>
      <c r="L178" s="34"/>
    </row>
    <row r="179" spans="1:12" x14ac:dyDescent="0.35">
      <c r="A179" s="34"/>
      <c r="B179" s="34"/>
      <c r="C179" s="34"/>
      <c r="D179" s="34"/>
      <c r="E179" s="34"/>
      <c r="F179" s="34"/>
      <c r="G179" s="34"/>
      <c r="L179" s="34"/>
    </row>
    <row r="180" spans="1:12" x14ac:dyDescent="0.35">
      <c r="A180" s="34"/>
      <c r="B180" s="34"/>
      <c r="C180" s="34"/>
      <c r="D180" s="34"/>
      <c r="E180" s="34"/>
      <c r="F180" s="34"/>
      <c r="G180" s="34"/>
      <c r="L180" s="34"/>
    </row>
    <row r="181" spans="1:12" x14ac:dyDescent="0.35">
      <c r="A181" s="34"/>
      <c r="B181" s="34"/>
      <c r="C181" s="34"/>
      <c r="D181" s="34"/>
      <c r="E181" s="34"/>
      <c r="F181" s="34"/>
      <c r="G181" s="34"/>
      <c r="L181" s="34"/>
    </row>
    <row r="182" spans="1:12" x14ac:dyDescent="0.35">
      <c r="A182" s="34"/>
      <c r="B182" s="34"/>
      <c r="C182" s="34"/>
      <c r="D182" s="34"/>
      <c r="E182" s="34"/>
      <c r="F182" s="34"/>
      <c r="G182" s="34"/>
      <c r="L182" s="34"/>
    </row>
    <row r="183" spans="1:12" x14ac:dyDescent="0.35">
      <c r="A183" s="34"/>
      <c r="B183" s="34"/>
      <c r="C183" s="34"/>
      <c r="D183" s="34"/>
      <c r="E183" s="34"/>
      <c r="F183" s="34"/>
      <c r="G183" s="34"/>
      <c r="L183" s="34"/>
    </row>
    <row r="184" spans="1:12" x14ac:dyDescent="0.35">
      <c r="A184" s="34"/>
      <c r="B184" s="34"/>
      <c r="C184" s="34"/>
      <c r="D184" s="34"/>
      <c r="E184" s="34"/>
      <c r="F184" s="34"/>
      <c r="G184" s="34"/>
      <c r="L184" s="34"/>
    </row>
    <row r="185" spans="1:12" x14ac:dyDescent="0.35">
      <c r="A185" s="34"/>
      <c r="B185" s="34"/>
      <c r="C185" s="34"/>
      <c r="D185" s="34"/>
      <c r="E185" s="34"/>
      <c r="F185" s="34"/>
      <c r="G185" s="34"/>
      <c r="L185" s="34"/>
    </row>
    <row r="186" spans="1:12" x14ac:dyDescent="0.35">
      <c r="A186" s="34"/>
      <c r="B186" s="34"/>
      <c r="C186" s="34"/>
      <c r="D186" s="34"/>
      <c r="E186" s="34"/>
      <c r="F186" s="34"/>
      <c r="G186" s="34"/>
      <c r="L186" s="34"/>
    </row>
    <row r="187" spans="1:12" x14ac:dyDescent="0.35">
      <c r="A187" s="34"/>
      <c r="B187" s="34"/>
      <c r="C187" s="34"/>
      <c r="D187" s="34"/>
      <c r="E187" s="34"/>
      <c r="F187" s="34"/>
      <c r="G187" s="34"/>
      <c r="L187" s="34"/>
    </row>
    <row r="188" spans="1:12" x14ac:dyDescent="0.35">
      <c r="A188" s="34"/>
      <c r="B188" s="34"/>
      <c r="C188" s="34"/>
      <c r="D188" s="34"/>
      <c r="E188" s="34"/>
      <c r="F188" s="34"/>
      <c r="G188" s="34"/>
      <c r="L188" s="34"/>
    </row>
    <row r="189" spans="1:12" x14ac:dyDescent="0.35">
      <c r="A189" s="34"/>
      <c r="B189" s="34"/>
      <c r="C189" s="34"/>
      <c r="D189" s="34"/>
      <c r="E189" s="34"/>
      <c r="F189" s="34"/>
      <c r="G189" s="34"/>
      <c r="L189" s="34"/>
    </row>
    <row r="190" spans="1:12" x14ac:dyDescent="0.35">
      <c r="A190" s="34"/>
      <c r="B190" s="34"/>
      <c r="C190" s="34"/>
      <c r="D190" s="34"/>
      <c r="E190" s="34"/>
      <c r="F190" s="34"/>
      <c r="G190" s="34"/>
      <c r="L190" s="34"/>
    </row>
    <row r="191" spans="1:12" x14ac:dyDescent="0.35">
      <c r="A191" s="34"/>
      <c r="B191" s="34"/>
      <c r="C191" s="34"/>
      <c r="D191" s="34"/>
      <c r="E191" s="34"/>
      <c r="F191" s="34"/>
      <c r="G191" s="34"/>
      <c r="L191" s="34"/>
    </row>
    <row r="192" spans="1:12" x14ac:dyDescent="0.35">
      <c r="A192" s="34"/>
      <c r="B192" s="34"/>
      <c r="C192" s="34"/>
      <c r="D192" s="34"/>
      <c r="E192" s="34"/>
      <c r="F192" s="34"/>
      <c r="G192" s="34"/>
      <c r="L192" s="34"/>
    </row>
    <row r="193" spans="1:12" x14ac:dyDescent="0.35">
      <c r="A193" s="34"/>
      <c r="B193" s="34"/>
      <c r="C193" s="34"/>
      <c r="D193" s="34"/>
      <c r="E193" s="34"/>
      <c r="F193" s="34"/>
      <c r="G193" s="34"/>
      <c r="L193" s="34"/>
    </row>
    <row r="194" spans="1:12" x14ac:dyDescent="0.35">
      <c r="A194" s="34"/>
      <c r="B194" s="34"/>
      <c r="C194" s="34"/>
      <c r="D194" s="34"/>
      <c r="E194" s="34"/>
      <c r="F194" s="34"/>
      <c r="G194" s="34"/>
      <c r="L194" s="34"/>
    </row>
    <row r="195" spans="1:12" x14ac:dyDescent="0.35">
      <c r="A195" s="34"/>
      <c r="B195" s="34"/>
      <c r="C195" s="34"/>
      <c r="D195" s="34"/>
      <c r="E195" s="34"/>
      <c r="F195" s="34"/>
      <c r="G195" s="34"/>
      <c r="L195" s="34"/>
    </row>
    <row r="196" spans="1:12" x14ac:dyDescent="0.35">
      <c r="A196" s="34"/>
      <c r="B196" s="34"/>
      <c r="C196" s="34"/>
      <c r="D196" s="34"/>
      <c r="E196" s="34"/>
      <c r="F196" s="34"/>
      <c r="G196" s="34"/>
      <c r="L196" s="34"/>
    </row>
    <row r="197" spans="1:12" x14ac:dyDescent="0.35">
      <c r="A197" s="34"/>
      <c r="B197" s="34"/>
      <c r="C197" s="34"/>
      <c r="D197" s="34"/>
      <c r="E197" s="34"/>
      <c r="F197" s="34"/>
      <c r="G197" s="34"/>
      <c r="L197" s="34"/>
    </row>
    <row r="198" spans="1:12" x14ac:dyDescent="0.35">
      <c r="A198" s="34"/>
      <c r="B198" s="34"/>
      <c r="C198" s="34"/>
      <c r="D198" s="34"/>
      <c r="E198" s="34"/>
      <c r="F198" s="34"/>
      <c r="G198" s="34"/>
      <c r="L198" s="34"/>
    </row>
    <row r="199" spans="1:12" x14ac:dyDescent="0.35">
      <c r="A199" s="34"/>
      <c r="B199" s="34"/>
      <c r="C199" s="34"/>
      <c r="D199" s="34"/>
      <c r="E199" s="34"/>
      <c r="F199" s="34"/>
      <c r="G199" s="34"/>
      <c r="L199" s="34"/>
    </row>
    <row r="200" spans="1:12" x14ac:dyDescent="0.35">
      <c r="A200" s="34"/>
      <c r="B200" s="34"/>
      <c r="C200" s="34"/>
      <c r="D200" s="34"/>
      <c r="E200" s="34"/>
      <c r="F200" s="34"/>
      <c r="G200" s="34"/>
      <c r="L200" s="34"/>
    </row>
    <row r="201" spans="1:12" x14ac:dyDescent="0.35">
      <c r="A201" s="34"/>
      <c r="B201" s="34"/>
      <c r="C201" s="34"/>
      <c r="D201" s="34"/>
      <c r="E201" s="34"/>
      <c r="F201" s="34"/>
      <c r="G201" s="34"/>
      <c r="L201" s="34"/>
    </row>
    <row r="202" spans="1:12" x14ac:dyDescent="0.35">
      <c r="A202" s="34"/>
      <c r="B202" s="34"/>
      <c r="C202" s="34"/>
      <c r="D202" s="34"/>
      <c r="E202" s="34"/>
      <c r="F202" s="34"/>
      <c r="G202" s="34"/>
      <c r="L202" s="34"/>
    </row>
    <row r="203" spans="1:12" x14ac:dyDescent="0.35">
      <c r="A203" s="34"/>
      <c r="B203" s="34"/>
      <c r="C203" s="34"/>
      <c r="D203" s="34"/>
      <c r="E203" s="34"/>
      <c r="F203" s="34"/>
      <c r="G203" s="34"/>
      <c r="L203" s="34"/>
    </row>
    <row r="204" spans="1:12" x14ac:dyDescent="0.35">
      <c r="A204" s="34"/>
      <c r="B204" s="34"/>
      <c r="C204" s="34"/>
      <c r="D204" s="34"/>
      <c r="E204" s="34"/>
      <c r="F204" s="34"/>
      <c r="G204" s="34"/>
      <c r="L204" s="34"/>
    </row>
    <row r="205" spans="1:12" x14ac:dyDescent="0.35">
      <c r="A205" s="34"/>
      <c r="B205" s="34"/>
      <c r="C205" s="34"/>
      <c r="D205" s="34"/>
      <c r="E205" s="34"/>
      <c r="F205" s="34"/>
      <c r="G205" s="34"/>
      <c r="L205" s="34"/>
    </row>
    <row r="206" spans="1:12" x14ac:dyDescent="0.35">
      <c r="A206" s="34"/>
      <c r="B206" s="34"/>
      <c r="C206" s="34"/>
      <c r="D206" s="34"/>
      <c r="E206" s="34"/>
      <c r="F206" s="34"/>
      <c r="G206" s="34"/>
      <c r="L206" s="34"/>
    </row>
    <row r="207" spans="1:12" x14ac:dyDescent="0.35">
      <c r="A207" s="34"/>
      <c r="B207" s="34"/>
      <c r="C207" s="34"/>
      <c r="D207" s="34"/>
      <c r="E207" s="34"/>
      <c r="F207" s="34"/>
      <c r="G207" s="34"/>
      <c r="L207" s="34"/>
    </row>
    <row r="208" spans="1:12" x14ac:dyDescent="0.35">
      <c r="A208" s="34"/>
      <c r="B208" s="34"/>
      <c r="C208" s="34"/>
      <c r="D208" s="34"/>
      <c r="E208" s="34"/>
      <c r="F208" s="34"/>
      <c r="G208" s="34"/>
      <c r="L208" s="34"/>
    </row>
    <row r="209" spans="1:12" x14ac:dyDescent="0.35">
      <c r="A209" s="34"/>
      <c r="B209" s="34"/>
      <c r="C209" s="34"/>
      <c r="D209" s="34"/>
      <c r="E209" s="34"/>
      <c r="F209" s="34"/>
      <c r="G209" s="34"/>
      <c r="L209" s="34"/>
    </row>
    <row r="210" spans="1:12" x14ac:dyDescent="0.35">
      <c r="A210" s="34"/>
      <c r="B210" s="34"/>
      <c r="C210" s="34"/>
      <c r="D210" s="34"/>
      <c r="E210" s="34"/>
      <c r="F210" s="34"/>
      <c r="G210" s="34"/>
      <c r="L210" s="34"/>
    </row>
    <row r="211" spans="1:12" x14ac:dyDescent="0.35">
      <c r="A211" s="34"/>
      <c r="B211" s="34"/>
      <c r="C211" s="34"/>
      <c r="D211" s="34"/>
      <c r="E211" s="34"/>
      <c r="F211" s="34"/>
      <c r="G211" s="34"/>
      <c r="L211" s="34"/>
    </row>
    <row r="212" spans="1:12" x14ac:dyDescent="0.35">
      <c r="A212" s="34"/>
      <c r="B212" s="34"/>
      <c r="C212" s="34"/>
      <c r="D212" s="34"/>
      <c r="E212" s="34"/>
      <c r="F212" s="34"/>
      <c r="G212" s="34"/>
      <c r="L212" s="34"/>
    </row>
    <row r="213" spans="1:12" x14ac:dyDescent="0.35">
      <c r="A213" s="34"/>
      <c r="B213" s="34"/>
      <c r="C213" s="34"/>
      <c r="D213" s="34"/>
      <c r="E213" s="34"/>
      <c r="F213" s="34"/>
      <c r="G213" s="34"/>
      <c r="L213" s="34"/>
    </row>
    <row r="214" spans="1:12" x14ac:dyDescent="0.35">
      <c r="A214" s="34"/>
      <c r="B214" s="34"/>
      <c r="C214" s="34"/>
      <c r="D214" s="34"/>
      <c r="E214" s="34"/>
      <c r="F214" s="34"/>
      <c r="G214" s="34"/>
      <c r="L214" s="34"/>
    </row>
    <row r="215" spans="1:12" x14ac:dyDescent="0.35">
      <c r="A215" s="34"/>
      <c r="B215" s="34"/>
      <c r="C215" s="34"/>
      <c r="D215" s="34"/>
      <c r="E215" s="34"/>
      <c r="F215" s="34"/>
      <c r="G215" s="34"/>
      <c r="L215" s="34"/>
    </row>
    <row r="216" spans="1:12" x14ac:dyDescent="0.35">
      <c r="A216" s="34"/>
      <c r="B216" s="34"/>
      <c r="C216" s="34"/>
      <c r="D216" s="34"/>
      <c r="E216" s="34"/>
      <c r="F216" s="34"/>
      <c r="G216" s="34"/>
      <c r="L216" s="34"/>
    </row>
    <row r="217" spans="1:12" x14ac:dyDescent="0.35">
      <c r="A217" s="34"/>
      <c r="B217" s="34"/>
      <c r="C217" s="34"/>
      <c r="D217" s="34"/>
      <c r="E217" s="34"/>
      <c r="F217" s="34"/>
      <c r="G217" s="34"/>
      <c r="L217" s="34"/>
    </row>
    <row r="218" spans="1:12" x14ac:dyDescent="0.35">
      <c r="A218" s="34"/>
      <c r="B218" s="34"/>
      <c r="C218" s="34"/>
      <c r="D218" s="34"/>
      <c r="E218" s="34"/>
      <c r="F218" s="34"/>
      <c r="G218" s="34"/>
      <c r="L218" s="34"/>
    </row>
    <row r="219" spans="1:12" x14ac:dyDescent="0.35">
      <c r="A219" s="34"/>
      <c r="B219" s="34"/>
      <c r="C219" s="34"/>
      <c r="D219" s="34"/>
      <c r="E219" s="34"/>
      <c r="F219" s="34"/>
      <c r="G219" s="34"/>
      <c r="L219" s="34"/>
    </row>
    <row r="220" spans="1:12" x14ac:dyDescent="0.35">
      <c r="A220" s="34"/>
      <c r="B220" s="34"/>
      <c r="C220" s="34"/>
      <c r="D220" s="34"/>
      <c r="E220" s="34"/>
      <c r="F220" s="34"/>
      <c r="G220" s="34"/>
      <c r="L220" s="34"/>
    </row>
    <row r="221" spans="1:12" x14ac:dyDescent="0.35">
      <c r="A221" s="34"/>
      <c r="B221" s="34"/>
      <c r="C221" s="34"/>
      <c r="D221" s="34"/>
      <c r="E221" s="34"/>
      <c r="F221" s="34"/>
      <c r="G221" s="34"/>
      <c r="L221" s="34"/>
    </row>
    <row r="222" spans="1:12" x14ac:dyDescent="0.35">
      <c r="A222" s="34"/>
      <c r="B222" s="34"/>
      <c r="C222" s="34"/>
      <c r="D222" s="34"/>
      <c r="E222" s="34"/>
      <c r="F222" s="34"/>
      <c r="G222" s="34"/>
      <c r="L222" s="34"/>
    </row>
    <row r="223" spans="1:12" x14ac:dyDescent="0.35">
      <c r="A223" s="34"/>
      <c r="B223" s="34"/>
      <c r="C223" s="34"/>
      <c r="D223" s="34"/>
      <c r="E223" s="34"/>
      <c r="F223" s="34"/>
      <c r="G223" s="34"/>
      <c r="L223" s="34"/>
    </row>
    <row r="224" spans="1:12" x14ac:dyDescent="0.35">
      <c r="A224" s="34"/>
      <c r="B224" s="34"/>
      <c r="C224" s="34"/>
      <c r="D224" s="34"/>
      <c r="E224" s="34"/>
      <c r="F224" s="34"/>
      <c r="G224" s="34"/>
      <c r="L224" s="34"/>
    </row>
    <row r="225" spans="1:12" x14ac:dyDescent="0.35">
      <c r="A225" s="34"/>
      <c r="B225" s="34"/>
      <c r="C225" s="34"/>
      <c r="D225" s="34"/>
      <c r="E225" s="34"/>
      <c r="F225" s="34"/>
      <c r="G225" s="34"/>
      <c r="L225" s="34"/>
    </row>
    <row r="226" spans="1:12" x14ac:dyDescent="0.35">
      <c r="A226" s="34"/>
      <c r="B226" s="34"/>
      <c r="C226" s="34"/>
      <c r="D226" s="34"/>
      <c r="E226" s="34"/>
      <c r="F226" s="34"/>
      <c r="G226" s="34"/>
      <c r="L226" s="34"/>
    </row>
    <row r="227" spans="1:12" x14ac:dyDescent="0.35">
      <c r="A227" s="34"/>
      <c r="B227" s="34"/>
      <c r="C227" s="34"/>
      <c r="D227" s="34"/>
      <c r="E227" s="34"/>
      <c r="F227" s="34"/>
      <c r="G227" s="34"/>
      <c r="L227" s="34"/>
    </row>
    <row r="228" spans="1:12" x14ac:dyDescent="0.35">
      <c r="A228" s="34"/>
      <c r="B228" s="34"/>
      <c r="C228" s="34"/>
      <c r="D228" s="34"/>
      <c r="E228" s="34"/>
      <c r="F228" s="34"/>
      <c r="G228" s="34"/>
      <c r="L228" s="34"/>
    </row>
    <row r="229" spans="1:12" x14ac:dyDescent="0.35">
      <c r="A229" s="34"/>
      <c r="B229" s="34"/>
      <c r="C229" s="34"/>
      <c r="D229" s="34"/>
      <c r="E229" s="34"/>
      <c r="F229" s="34"/>
      <c r="G229" s="34"/>
      <c r="L229" s="34"/>
    </row>
    <row r="230" spans="1:12" x14ac:dyDescent="0.35">
      <c r="A230" s="34"/>
      <c r="B230" s="34"/>
      <c r="C230" s="34"/>
      <c r="D230" s="34"/>
      <c r="E230" s="34"/>
      <c r="F230" s="34"/>
      <c r="G230" s="34"/>
      <c r="L230" s="34"/>
    </row>
    <row r="231" spans="1:12" x14ac:dyDescent="0.35">
      <c r="A231" s="34"/>
      <c r="B231" s="34"/>
      <c r="C231" s="34"/>
      <c r="D231" s="34"/>
      <c r="E231" s="34"/>
      <c r="F231" s="34"/>
      <c r="G231" s="34"/>
      <c r="L231" s="34"/>
    </row>
    <row r="232" spans="1:12" x14ac:dyDescent="0.35">
      <c r="A232" s="34"/>
      <c r="B232" s="34"/>
      <c r="C232" s="34"/>
      <c r="D232" s="34"/>
      <c r="E232" s="34"/>
      <c r="F232" s="34"/>
      <c r="G232" s="34"/>
      <c r="L232" s="34"/>
    </row>
    <row r="233" spans="1:12" x14ac:dyDescent="0.35">
      <c r="A233" s="34"/>
      <c r="B233" s="34"/>
      <c r="C233" s="34"/>
      <c r="D233" s="34"/>
      <c r="E233" s="34"/>
      <c r="F233" s="34"/>
      <c r="G233" s="34"/>
      <c r="L233" s="34"/>
    </row>
    <row r="234" spans="1:12" x14ac:dyDescent="0.35">
      <c r="A234" s="34"/>
      <c r="B234" s="34"/>
      <c r="C234" s="34"/>
      <c r="D234" s="34"/>
      <c r="E234" s="34"/>
      <c r="F234" s="34"/>
      <c r="G234" s="34"/>
      <c r="L234" s="34"/>
    </row>
    <row r="235" spans="1:12" x14ac:dyDescent="0.35">
      <c r="A235" s="34"/>
      <c r="B235" s="34"/>
      <c r="C235" s="34"/>
      <c r="D235" s="34"/>
      <c r="E235" s="34"/>
      <c r="F235" s="34"/>
      <c r="G235" s="34"/>
      <c r="L235" s="34"/>
    </row>
    <row r="236" spans="1:12" x14ac:dyDescent="0.35">
      <c r="A236" s="34"/>
      <c r="B236" s="34"/>
      <c r="C236" s="34"/>
      <c r="D236" s="34"/>
      <c r="E236" s="34"/>
      <c r="F236" s="34"/>
      <c r="G236" s="34"/>
      <c r="L236" s="34"/>
    </row>
    <row r="237" spans="1:12" x14ac:dyDescent="0.35">
      <c r="A237" s="34"/>
      <c r="B237" s="34"/>
      <c r="C237" s="34"/>
      <c r="D237" s="34"/>
      <c r="E237" s="34"/>
      <c r="F237" s="34"/>
      <c r="G237" s="34"/>
      <c r="L237" s="34"/>
    </row>
    <row r="238" spans="1:12" x14ac:dyDescent="0.35">
      <c r="A238" s="34"/>
      <c r="B238" s="34"/>
      <c r="C238" s="34"/>
      <c r="D238" s="34"/>
      <c r="E238" s="34"/>
      <c r="F238" s="34"/>
      <c r="G238" s="34"/>
      <c r="L238" s="34"/>
    </row>
    <row r="239" spans="1:12" x14ac:dyDescent="0.35">
      <c r="A239" s="34"/>
      <c r="B239" s="34"/>
      <c r="C239" s="34"/>
      <c r="D239" s="34"/>
      <c r="E239" s="34"/>
      <c r="F239" s="34"/>
      <c r="G239" s="34"/>
      <c r="L239" s="34"/>
    </row>
    <row r="240" spans="1:12" x14ac:dyDescent="0.35">
      <c r="A240" s="34"/>
      <c r="B240" s="34"/>
      <c r="C240" s="34"/>
      <c r="D240" s="34"/>
      <c r="E240" s="34"/>
      <c r="F240" s="34"/>
      <c r="G240" s="34"/>
      <c r="L240" s="34"/>
    </row>
    <row r="241" spans="1:12" x14ac:dyDescent="0.35">
      <c r="A241" s="34"/>
      <c r="B241" s="34"/>
      <c r="C241" s="34"/>
      <c r="D241" s="34"/>
      <c r="E241" s="34"/>
      <c r="F241" s="34"/>
      <c r="G241" s="34"/>
      <c r="L241" s="34"/>
    </row>
    <row r="242" spans="1:12" x14ac:dyDescent="0.35">
      <c r="A242" s="34"/>
      <c r="B242" s="34"/>
      <c r="C242" s="34"/>
      <c r="D242" s="34"/>
      <c r="E242" s="34"/>
      <c r="F242" s="34"/>
      <c r="G242" s="34"/>
      <c r="L242" s="34"/>
    </row>
    <row r="243" spans="1:12" x14ac:dyDescent="0.35">
      <c r="A243" s="34"/>
      <c r="B243" s="34"/>
      <c r="C243" s="34"/>
      <c r="D243" s="34"/>
      <c r="E243" s="34"/>
      <c r="F243" s="34"/>
      <c r="G243" s="34"/>
      <c r="L243" s="34"/>
    </row>
    <row r="244" spans="1:12" x14ac:dyDescent="0.35">
      <c r="A244" s="34"/>
      <c r="B244" s="34"/>
      <c r="C244" s="34"/>
      <c r="D244" s="34"/>
      <c r="E244" s="34"/>
      <c r="F244" s="34"/>
      <c r="G244" s="34"/>
      <c r="L244" s="34"/>
    </row>
    <row r="245" spans="1:12" x14ac:dyDescent="0.35">
      <c r="A245" s="34"/>
      <c r="B245" s="34"/>
      <c r="C245" s="34"/>
      <c r="D245" s="34"/>
      <c r="E245" s="34"/>
      <c r="F245" s="34"/>
      <c r="G245" s="34"/>
      <c r="L245" s="34"/>
    </row>
    <row r="246" spans="1:12" x14ac:dyDescent="0.35">
      <c r="A246" s="34"/>
      <c r="B246" s="34"/>
      <c r="C246" s="34"/>
      <c r="D246" s="34"/>
      <c r="E246" s="34"/>
      <c r="F246" s="34"/>
      <c r="G246" s="34"/>
      <c r="L246" s="34"/>
    </row>
    <row r="247" spans="1:12" x14ac:dyDescent="0.35">
      <c r="A247" s="34"/>
      <c r="B247" s="34"/>
      <c r="C247" s="34"/>
      <c r="D247" s="34"/>
      <c r="E247" s="34"/>
      <c r="F247" s="34"/>
      <c r="G247" s="34"/>
      <c r="L247" s="34"/>
    </row>
    <row r="248" spans="1:12" x14ac:dyDescent="0.35">
      <c r="A248" s="34"/>
      <c r="B248" s="34"/>
      <c r="C248" s="34"/>
      <c r="D248" s="34"/>
      <c r="E248" s="34"/>
      <c r="F248" s="34"/>
      <c r="G248" s="34"/>
      <c r="L248" s="34"/>
    </row>
    <row r="249" spans="1:12" x14ac:dyDescent="0.35">
      <c r="A249" s="34"/>
      <c r="B249" s="34"/>
      <c r="C249" s="34"/>
      <c r="D249" s="34"/>
      <c r="E249" s="34"/>
      <c r="F249" s="34"/>
      <c r="G249" s="34"/>
      <c r="L249" s="34"/>
    </row>
    <row r="250" spans="1:12" x14ac:dyDescent="0.35">
      <c r="A250" s="34"/>
      <c r="B250" s="34"/>
      <c r="C250" s="34"/>
      <c r="D250" s="34"/>
      <c r="E250" s="34"/>
      <c r="F250" s="34"/>
      <c r="G250" s="34"/>
      <c r="L250" s="34"/>
    </row>
    <row r="251" spans="1:12" x14ac:dyDescent="0.35">
      <c r="A251" s="34"/>
      <c r="B251" s="34"/>
      <c r="C251" s="34"/>
      <c r="D251" s="34"/>
      <c r="E251" s="34"/>
      <c r="F251" s="34"/>
      <c r="G251" s="34"/>
      <c r="L251" s="34"/>
    </row>
    <row r="252" spans="1:12" x14ac:dyDescent="0.35">
      <c r="A252" s="34"/>
      <c r="B252" s="34"/>
      <c r="C252" s="34"/>
      <c r="D252" s="34"/>
      <c r="E252" s="34"/>
      <c r="F252" s="34"/>
      <c r="G252" s="34"/>
      <c r="L252" s="34"/>
    </row>
    <row r="253" spans="1:12" x14ac:dyDescent="0.35">
      <c r="A253" s="34"/>
      <c r="B253" s="34"/>
      <c r="C253" s="34"/>
      <c r="D253" s="34"/>
      <c r="E253" s="34"/>
      <c r="F253" s="34"/>
      <c r="G253" s="34"/>
      <c r="L253" s="34"/>
    </row>
    <row r="254" spans="1:12" x14ac:dyDescent="0.35">
      <c r="A254" s="34"/>
      <c r="B254" s="34"/>
      <c r="C254" s="34"/>
      <c r="D254" s="34"/>
      <c r="E254" s="34"/>
      <c r="F254" s="34"/>
      <c r="G254" s="34"/>
      <c r="L254" s="34"/>
    </row>
    <row r="255" spans="1:12" x14ac:dyDescent="0.35">
      <c r="A255" s="34"/>
      <c r="B255" s="34"/>
      <c r="C255" s="34"/>
      <c r="D255" s="34"/>
      <c r="E255" s="34"/>
      <c r="F255" s="34"/>
      <c r="G255" s="34"/>
      <c r="L255" s="34"/>
    </row>
    <row r="256" spans="1:12" x14ac:dyDescent="0.35">
      <c r="A256" s="34"/>
      <c r="B256" s="34"/>
      <c r="C256" s="34"/>
      <c r="D256" s="34"/>
      <c r="E256" s="34"/>
      <c r="F256" s="34"/>
      <c r="G256" s="34"/>
      <c r="L256" s="34"/>
    </row>
    <row r="257" spans="1:12" x14ac:dyDescent="0.35">
      <c r="A257" s="34"/>
      <c r="B257" s="34"/>
      <c r="C257" s="34"/>
      <c r="D257" s="34"/>
      <c r="E257" s="34"/>
      <c r="F257" s="34"/>
      <c r="G257" s="34"/>
      <c r="L257" s="34"/>
    </row>
    <row r="258" spans="1:12" x14ac:dyDescent="0.35">
      <c r="A258" s="34"/>
      <c r="B258" s="34"/>
      <c r="C258" s="34"/>
      <c r="D258" s="34"/>
      <c r="E258" s="34"/>
      <c r="F258" s="34"/>
      <c r="G258" s="34"/>
      <c r="L258" s="34"/>
    </row>
    <row r="259" spans="1:12" x14ac:dyDescent="0.35">
      <c r="A259" s="34"/>
      <c r="B259" s="34"/>
      <c r="C259" s="34"/>
      <c r="D259" s="34"/>
      <c r="E259" s="34"/>
      <c r="F259" s="34"/>
      <c r="G259" s="34"/>
      <c r="L259" s="34"/>
    </row>
    <row r="260" spans="1:12" x14ac:dyDescent="0.35">
      <c r="A260" s="34"/>
      <c r="B260" s="34"/>
      <c r="C260" s="34"/>
      <c r="D260" s="34"/>
      <c r="E260" s="34"/>
      <c r="F260" s="34"/>
      <c r="G260" s="34"/>
      <c r="L260" s="34"/>
    </row>
    <row r="261" spans="1:12" x14ac:dyDescent="0.35">
      <c r="A261" s="34"/>
      <c r="B261" s="34"/>
      <c r="C261" s="34"/>
      <c r="D261" s="34"/>
      <c r="E261" s="34"/>
      <c r="F261" s="34"/>
      <c r="G261" s="34"/>
      <c r="L261" s="34"/>
    </row>
    <row r="262" spans="1:12" x14ac:dyDescent="0.35">
      <c r="A262" s="34"/>
      <c r="B262" s="34"/>
      <c r="C262" s="34"/>
      <c r="D262" s="34"/>
      <c r="E262" s="34"/>
      <c r="F262" s="34"/>
      <c r="G262" s="34"/>
      <c r="L262" s="34"/>
    </row>
    <row r="263" spans="1:12" x14ac:dyDescent="0.35">
      <c r="A263" s="34"/>
      <c r="B263" s="34"/>
      <c r="C263" s="34"/>
      <c r="D263" s="34"/>
      <c r="E263" s="34"/>
      <c r="F263" s="34"/>
      <c r="G263" s="34"/>
      <c r="L263" s="34"/>
    </row>
    <row r="264" spans="1:12" x14ac:dyDescent="0.35">
      <c r="A264" s="34"/>
      <c r="B264" s="34"/>
      <c r="C264" s="34"/>
      <c r="D264" s="34"/>
      <c r="E264" s="34"/>
      <c r="F264" s="34"/>
      <c r="G264" s="34"/>
      <c r="L264" s="34"/>
    </row>
    <row r="265" spans="1:12" x14ac:dyDescent="0.35">
      <c r="A265" s="34"/>
      <c r="B265" s="34"/>
      <c r="C265" s="34"/>
      <c r="D265" s="34"/>
      <c r="E265" s="34"/>
      <c r="F265" s="34"/>
      <c r="G265" s="34"/>
      <c r="L265" s="34"/>
    </row>
    <row r="266" spans="1:12" x14ac:dyDescent="0.35">
      <c r="A266" s="34"/>
      <c r="B266" s="34"/>
      <c r="C266" s="34"/>
      <c r="D266" s="34"/>
      <c r="E266" s="34"/>
      <c r="F266" s="34"/>
      <c r="G266" s="34"/>
      <c r="L266" s="34"/>
    </row>
    <row r="267" spans="1:12" x14ac:dyDescent="0.35">
      <c r="A267" s="34"/>
      <c r="B267" s="34"/>
      <c r="C267" s="34"/>
      <c r="D267" s="34"/>
      <c r="E267" s="34"/>
      <c r="F267" s="34"/>
      <c r="G267" s="34"/>
      <c r="L267" s="34"/>
    </row>
    <row r="268" spans="1:12" x14ac:dyDescent="0.35">
      <c r="A268" s="34"/>
      <c r="B268" s="34"/>
      <c r="C268" s="34"/>
      <c r="D268" s="34"/>
      <c r="E268" s="34"/>
      <c r="F268" s="34"/>
      <c r="G268" s="34"/>
      <c r="L268" s="34"/>
    </row>
    <row r="269" spans="1:12" x14ac:dyDescent="0.35">
      <c r="A269" s="34"/>
      <c r="B269" s="34"/>
      <c r="C269" s="34"/>
      <c r="D269" s="34"/>
      <c r="E269" s="34"/>
      <c r="F269" s="34"/>
      <c r="G269" s="34"/>
      <c r="L269" s="34"/>
    </row>
    <row r="270" spans="1:12" x14ac:dyDescent="0.35">
      <c r="A270" s="34"/>
      <c r="B270" s="34"/>
      <c r="C270" s="34"/>
      <c r="D270" s="34"/>
      <c r="E270" s="34"/>
      <c r="F270" s="34"/>
      <c r="G270" s="34"/>
      <c r="L270" s="34"/>
    </row>
    <row r="271" spans="1:12" x14ac:dyDescent="0.35">
      <c r="A271" s="34"/>
      <c r="B271" s="34"/>
      <c r="C271" s="34"/>
      <c r="D271" s="34"/>
      <c r="E271" s="34"/>
      <c r="F271" s="34"/>
      <c r="G271" s="34"/>
      <c r="L271" s="34"/>
    </row>
    <row r="272" spans="1:12" x14ac:dyDescent="0.35">
      <c r="A272" s="34"/>
      <c r="B272" s="34"/>
      <c r="C272" s="34"/>
      <c r="D272" s="34"/>
      <c r="E272" s="34"/>
      <c r="F272" s="34"/>
      <c r="G272" s="34"/>
      <c r="L272" s="34"/>
    </row>
    <row r="273" spans="1:12" x14ac:dyDescent="0.35">
      <c r="A273" s="34"/>
      <c r="B273" s="34"/>
      <c r="C273" s="34"/>
      <c r="D273" s="34"/>
      <c r="E273" s="34"/>
      <c r="F273" s="34"/>
      <c r="G273" s="34"/>
      <c r="L273" s="34"/>
    </row>
    <row r="274" spans="1:12" x14ac:dyDescent="0.35">
      <c r="A274" s="34"/>
      <c r="B274" s="34"/>
      <c r="C274" s="34"/>
      <c r="D274" s="34"/>
      <c r="E274" s="34"/>
      <c r="F274" s="34"/>
      <c r="G274" s="34"/>
      <c r="L274" s="34"/>
    </row>
    <row r="275" spans="1:12" x14ac:dyDescent="0.35">
      <c r="A275" s="34"/>
      <c r="B275" s="34"/>
      <c r="C275" s="34"/>
      <c r="D275" s="34"/>
      <c r="E275" s="34"/>
      <c r="F275" s="34"/>
      <c r="G275" s="34"/>
      <c r="L275" s="34"/>
    </row>
    <row r="276" spans="1:12" x14ac:dyDescent="0.35">
      <c r="A276" s="34"/>
      <c r="B276" s="34"/>
      <c r="C276" s="34"/>
      <c r="D276" s="34"/>
      <c r="E276" s="34"/>
      <c r="F276" s="34"/>
      <c r="G276" s="34"/>
      <c r="L276" s="34"/>
    </row>
    <row r="277" spans="1:12" x14ac:dyDescent="0.35">
      <c r="A277" s="34"/>
      <c r="B277" s="34"/>
      <c r="C277" s="34"/>
      <c r="D277" s="34"/>
      <c r="E277" s="34"/>
      <c r="F277" s="34"/>
      <c r="G277" s="34"/>
      <c r="L277" s="34"/>
    </row>
    <row r="278" spans="1:12" x14ac:dyDescent="0.35">
      <c r="A278" s="34"/>
      <c r="B278" s="34"/>
      <c r="C278" s="34"/>
      <c r="D278" s="34"/>
      <c r="E278" s="34"/>
      <c r="F278" s="34"/>
      <c r="G278" s="34"/>
      <c r="L278" s="34"/>
    </row>
    <row r="279" spans="1:12" x14ac:dyDescent="0.35">
      <c r="A279" s="34"/>
      <c r="B279" s="34"/>
      <c r="C279" s="34"/>
      <c r="D279" s="34"/>
      <c r="E279" s="34"/>
      <c r="F279" s="34"/>
      <c r="G279" s="34"/>
      <c r="L279" s="34"/>
    </row>
    <row r="280" spans="1:12" x14ac:dyDescent="0.35">
      <c r="A280" s="34"/>
      <c r="B280" s="34"/>
      <c r="C280" s="34"/>
      <c r="D280" s="34"/>
      <c r="E280" s="34"/>
      <c r="F280" s="34"/>
      <c r="G280" s="34"/>
      <c r="L280" s="34"/>
    </row>
    <row r="281" spans="1:12" x14ac:dyDescent="0.35">
      <c r="A281" s="34"/>
      <c r="B281" s="34"/>
      <c r="C281" s="34"/>
      <c r="D281" s="34"/>
      <c r="E281" s="34"/>
      <c r="F281" s="34"/>
      <c r="G281" s="34"/>
      <c r="L281" s="34"/>
    </row>
    <row r="282" spans="1:12" x14ac:dyDescent="0.35">
      <c r="A282" s="34"/>
      <c r="B282" s="34"/>
      <c r="C282" s="34"/>
      <c r="D282" s="34"/>
      <c r="E282" s="34"/>
      <c r="F282" s="34"/>
      <c r="G282" s="34"/>
      <c r="L282" s="34"/>
    </row>
    <row r="283" spans="1:12" x14ac:dyDescent="0.35">
      <c r="A283" s="34"/>
      <c r="B283" s="34"/>
      <c r="C283" s="34"/>
      <c r="D283" s="34"/>
      <c r="E283" s="34"/>
      <c r="F283" s="34"/>
      <c r="G283" s="34"/>
      <c r="L283" s="34"/>
    </row>
    <row r="284" spans="1:12" x14ac:dyDescent="0.35">
      <c r="A284" s="34"/>
      <c r="B284" s="34"/>
      <c r="C284" s="34"/>
      <c r="D284" s="34"/>
      <c r="E284" s="34"/>
      <c r="F284" s="34"/>
      <c r="G284" s="34"/>
      <c r="L284" s="34"/>
    </row>
    <row r="285" spans="1:12" x14ac:dyDescent="0.35">
      <c r="A285" s="34"/>
      <c r="B285" s="34"/>
      <c r="C285" s="34"/>
      <c r="D285" s="34"/>
      <c r="E285" s="34"/>
      <c r="F285" s="34"/>
      <c r="G285" s="34"/>
      <c r="L285" s="34"/>
    </row>
    <row r="286" spans="1:12" x14ac:dyDescent="0.35">
      <c r="A286" s="34"/>
      <c r="B286" s="34"/>
      <c r="C286" s="34"/>
      <c r="D286" s="34"/>
      <c r="E286" s="34"/>
      <c r="F286" s="34"/>
      <c r="G286" s="34"/>
      <c r="L286" s="34"/>
    </row>
    <row r="287" spans="1:12" x14ac:dyDescent="0.35">
      <c r="A287" s="34"/>
      <c r="B287" s="34"/>
      <c r="C287" s="34"/>
      <c r="D287" s="34"/>
      <c r="E287" s="34"/>
      <c r="F287" s="34"/>
      <c r="G287" s="34"/>
      <c r="L287" s="34"/>
    </row>
    <row r="288" spans="1:12" x14ac:dyDescent="0.35">
      <c r="A288" s="34"/>
      <c r="B288" s="34"/>
      <c r="C288" s="34"/>
      <c r="D288" s="34"/>
      <c r="E288" s="34"/>
      <c r="F288" s="34"/>
      <c r="G288" s="34"/>
      <c r="L288" s="34"/>
    </row>
    <row r="289" spans="1:12" x14ac:dyDescent="0.35">
      <c r="A289" s="34"/>
      <c r="B289" s="34"/>
      <c r="C289" s="34"/>
      <c r="D289" s="34"/>
      <c r="E289" s="34"/>
      <c r="F289" s="34"/>
      <c r="G289" s="34"/>
      <c r="L289" s="34"/>
    </row>
    <row r="290" spans="1:12" x14ac:dyDescent="0.35">
      <c r="A290" s="34"/>
      <c r="B290" s="34"/>
      <c r="C290" s="34"/>
      <c r="D290" s="34"/>
      <c r="E290" s="34"/>
      <c r="F290" s="34"/>
      <c r="G290" s="34"/>
      <c r="L290" s="34"/>
    </row>
    <row r="291" spans="1:12" x14ac:dyDescent="0.35">
      <c r="A291" s="34"/>
      <c r="B291" s="34"/>
      <c r="C291" s="34"/>
      <c r="D291" s="34"/>
      <c r="E291" s="34"/>
      <c r="F291" s="34"/>
      <c r="G291" s="34"/>
      <c r="L291" s="34"/>
    </row>
    <row r="292" spans="1:12" x14ac:dyDescent="0.35">
      <c r="A292" s="34"/>
      <c r="B292" s="34"/>
      <c r="C292" s="34"/>
      <c r="D292" s="34"/>
      <c r="E292" s="34"/>
      <c r="F292" s="34"/>
      <c r="G292" s="34"/>
      <c r="L292" s="34"/>
    </row>
    <row r="293" spans="1:12" x14ac:dyDescent="0.35">
      <c r="A293" s="34"/>
      <c r="B293" s="34"/>
      <c r="C293" s="34"/>
      <c r="D293" s="34"/>
      <c r="E293" s="34"/>
      <c r="F293" s="34"/>
      <c r="G293" s="34"/>
      <c r="L293" s="34"/>
    </row>
    <row r="294" spans="1:12" x14ac:dyDescent="0.35">
      <c r="A294" s="34"/>
      <c r="B294" s="34"/>
      <c r="C294" s="34"/>
      <c r="D294" s="34"/>
      <c r="E294" s="34"/>
      <c r="F294" s="34"/>
      <c r="G294" s="34"/>
      <c r="L294" s="34"/>
    </row>
    <row r="295" spans="1:12" x14ac:dyDescent="0.35">
      <c r="A295" s="34"/>
      <c r="B295" s="34"/>
      <c r="C295" s="34"/>
      <c r="D295" s="34"/>
      <c r="E295" s="34"/>
      <c r="F295" s="34"/>
      <c r="G295" s="34"/>
      <c r="L295" s="34"/>
    </row>
    <row r="296" spans="1:12" x14ac:dyDescent="0.35">
      <c r="A296" s="34"/>
      <c r="B296" s="34"/>
      <c r="C296" s="34"/>
      <c r="D296" s="34"/>
      <c r="E296" s="34"/>
      <c r="F296" s="34"/>
      <c r="G296" s="34"/>
      <c r="L296" s="34"/>
    </row>
    <row r="297" spans="1:12" x14ac:dyDescent="0.35">
      <c r="A297" s="34"/>
      <c r="B297" s="34"/>
      <c r="C297" s="34"/>
      <c r="D297" s="34"/>
      <c r="E297" s="34"/>
      <c r="F297" s="34"/>
      <c r="G297" s="34"/>
      <c r="L297" s="34"/>
    </row>
    <row r="298" spans="1:12" x14ac:dyDescent="0.35">
      <c r="A298" s="34"/>
      <c r="B298" s="34"/>
      <c r="C298" s="34"/>
      <c r="D298" s="34"/>
      <c r="E298" s="34"/>
      <c r="F298" s="34"/>
      <c r="G298" s="34"/>
      <c r="L298" s="34"/>
    </row>
    <row r="299" spans="1:12" x14ac:dyDescent="0.35">
      <c r="A299" s="34"/>
      <c r="B299" s="34"/>
      <c r="C299" s="34"/>
      <c r="D299" s="34"/>
      <c r="E299" s="34"/>
      <c r="F299" s="34"/>
      <c r="G299" s="34"/>
      <c r="L299" s="34"/>
    </row>
    <row r="300" spans="1:12" x14ac:dyDescent="0.35">
      <c r="A300" s="34"/>
      <c r="B300" s="34"/>
      <c r="C300" s="34"/>
      <c r="D300" s="34"/>
      <c r="E300" s="34"/>
      <c r="F300" s="34"/>
      <c r="G300" s="34"/>
      <c r="L300" s="34"/>
    </row>
  </sheetData>
  <mergeCells count="6">
    <mergeCell ref="H11:K11"/>
    <mergeCell ref="B5:K5"/>
    <mergeCell ref="B7:E7"/>
    <mergeCell ref="B8:E8"/>
    <mergeCell ref="H7:K7"/>
    <mergeCell ref="H8:K8"/>
  </mergeCells>
  <conditionalFormatting sqref="B13:F52">
    <cfRule type="expression" dxfId="32" priority="1">
      <formula>$B13="Today"</formula>
    </cfRule>
  </conditionalFormatting>
  <conditionalFormatting sqref="E13:E52">
    <cfRule type="expression" dxfId="31" priority="2">
      <formula>$C13="✅"</formula>
    </cfRule>
    <cfRule type="expression" dxfId="30" priority="3">
      <formula>$C13="🚀"</formula>
    </cfRule>
  </conditionalFormatting>
  <dataValidations count="1">
    <dataValidation type="list" allowBlank="1" showInputMessage="1" showErrorMessage="1" sqref="I13:I20" xr:uid="{272E0E44-278D-4E2A-96F8-BD3F70CC376C}">
      <formula1>lstMembers</formula1>
    </dataValidation>
  </dataValidations>
  <hyperlinks>
    <hyperlink ref="K2" location="'Home'!A1" display="⌂  Home" xr:uid="{9AC14F47-F509-4B28-B41B-E186ABB2680F}"/>
  </hyperlinks>
  <pageMargins left="0.7" right="0.7" top="0.75" bottom="0.75" header="0.3" footer="0.3"/>
  <pageSetup scale="56" fitToHeight="0"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4A887-019A-456E-A8FD-92058576CC02}">
  <sheetPr>
    <tabColor rgb="FF0E9AB5"/>
    <pageSetUpPr fitToPage="1"/>
  </sheetPr>
  <dimension ref="A1:AZ300"/>
  <sheetViews>
    <sheetView showGridLines="0" showRowColHeaders="0" zoomScale="90" zoomScaleNormal="90" workbookViewId="0">
      <selection activeCell="D17" sqref="D17"/>
    </sheetView>
  </sheetViews>
  <sheetFormatPr defaultRowHeight="15" x14ac:dyDescent="0.35"/>
  <cols>
    <col min="1" max="1" width="2.77734375" customWidth="1"/>
    <col min="2" max="2" width="8.77734375" customWidth="1"/>
    <col min="3" max="3" width="38.77734375" customWidth="1"/>
    <col min="4" max="4" width="22.77734375" customWidth="1"/>
    <col min="5" max="5" width="13.77734375" customWidth="1"/>
    <col min="6" max="6" width="10.77734375" customWidth="1"/>
    <col min="7" max="7" width="11.77734375" customWidth="1"/>
    <col min="8" max="8" width="9.77734375" customWidth="1"/>
    <col min="9" max="9" width="11.77734375" customWidth="1"/>
    <col min="10" max="10" width="3.77734375" customWidth="1"/>
    <col min="11" max="11" width="26.77734375" customWidth="1"/>
    <col min="12" max="12" width="2.77734375" customWidth="1"/>
  </cols>
  <sheetData>
    <row r="1" spans="1:52" ht="7.95" customHeight="1" x14ac:dyDescent="0.35">
      <c r="A1" s="1"/>
      <c r="B1" s="1"/>
      <c r="C1" s="1"/>
      <c r="D1" s="1"/>
      <c r="E1" s="1"/>
      <c r="F1" s="1"/>
      <c r="G1" s="1"/>
      <c r="H1" s="1"/>
      <c r="I1" s="1"/>
      <c r="J1" s="1"/>
      <c r="K1" s="1"/>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row>
    <row r="2" spans="1:52" ht="34.049999999999997" customHeight="1" x14ac:dyDescent="0.35">
      <c r="A2" s="1"/>
      <c r="B2" s="2" t="s">
        <v>270</v>
      </c>
      <c r="C2" s="1"/>
      <c r="D2" s="1"/>
      <c r="E2" s="1"/>
      <c r="F2" s="1"/>
      <c r="G2" s="1"/>
      <c r="H2" s="1"/>
      <c r="I2" s="1"/>
      <c r="J2" s="1"/>
      <c r="K2" s="4" t="s">
        <v>2</v>
      </c>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row>
    <row r="3" spans="1:52" ht="19.95" customHeight="1" x14ac:dyDescent="0.35">
      <c r="A3" s="1"/>
      <c r="B3" s="3" t="s">
        <v>271</v>
      </c>
      <c r="C3" s="1"/>
      <c r="D3" s="1"/>
      <c r="E3" s="1"/>
      <c r="F3" s="1"/>
      <c r="G3" s="1"/>
      <c r="H3" s="1"/>
      <c r="I3" s="1"/>
      <c r="J3" s="1"/>
      <c r="K3" s="1"/>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row>
    <row r="4" spans="1:52" ht="10.050000000000001" customHeight="1" thickBot="1" x14ac:dyDescent="0.4">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row>
    <row r="5" spans="1:52" ht="30" customHeight="1" thickBot="1" x14ac:dyDescent="0.4">
      <c r="A5" s="34"/>
      <c r="B5" s="107" t="s">
        <v>272</v>
      </c>
      <c r="C5" s="108" t="s">
        <v>79</v>
      </c>
      <c r="D5" s="262" t="s">
        <v>273</v>
      </c>
      <c r="E5" s="263"/>
      <c r="F5" s="263"/>
      <c r="G5" s="263"/>
      <c r="H5" s="263"/>
      <c r="I5" s="263"/>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row>
    <row r="6" spans="1:52" ht="10.050000000000001" customHeight="1" x14ac:dyDescent="0.35">
      <c r="A6" s="34"/>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row>
    <row r="7" spans="1:52" ht="25.95" customHeight="1" x14ac:dyDescent="0.45">
      <c r="A7" s="34"/>
      <c r="B7" s="46" t="s">
        <v>274</v>
      </c>
      <c r="C7" s="34"/>
      <c r="D7" s="34"/>
      <c r="E7" s="34"/>
      <c r="F7" s="34"/>
      <c r="G7" s="34"/>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row>
    <row r="8" spans="1:52" ht="22.05" customHeight="1" x14ac:dyDescent="0.35">
      <c r="A8" s="34"/>
      <c r="B8" s="89" t="s">
        <v>123</v>
      </c>
      <c r="C8" s="90" t="s">
        <v>245</v>
      </c>
      <c r="D8" s="90" t="s">
        <v>244</v>
      </c>
      <c r="E8" s="90" t="s">
        <v>275</v>
      </c>
      <c r="F8" s="90" t="s">
        <v>240</v>
      </c>
      <c r="G8" s="90" t="s">
        <v>241</v>
      </c>
      <c r="H8" s="90" t="s">
        <v>276</v>
      </c>
      <c r="I8" s="91" t="s">
        <v>242</v>
      </c>
      <c r="J8" s="34"/>
      <c r="K8" s="9"/>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row>
    <row r="9" spans="1:52" ht="22.05" customHeight="1" x14ac:dyDescent="0.35">
      <c r="A9" s="34"/>
      <c r="B9" s="60" t="str" cm="1">
        <f t="array" aca="1" ref="B9:I12" ca="1">_xlfn.LET(_xlpm.me,$C$5,_xlpm.m,(tblTasks[Owner]=_xlpm.me)*(tblTasks[Status]&lt;&gt;DoneStatus)*(tblTasks[Task]&lt;&gt;""),IFERROR(_xlfn.SORTBY(_xlfn._xlws.FILTER(_xlfn.HSTACK(tblTasks[ID],tblTasks[Task],tblTasks[Project],tblTasks[Status],tblTasks[Priority],tblTasks[Due Date],tblTasks[Days Left],tblTasks[State]),_xlpm.m),_xlfn._xlws.FILTER(tblTasks[DueKey],_xlpm.m),1),"🎉 Nothing open - great job!"))</f>
        <v>T-008</v>
      </c>
      <c r="C9" s="63" t="str">
        <f ca="1"/>
        <v>Optimize image loading</v>
      </c>
      <c r="D9" s="61" t="str">
        <f ca="1"/>
        <v>Website Redesign</v>
      </c>
      <c r="E9" s="61" t="str">
        <f ca="1"/>
        <v>Done</v>
      </c>
      <c r="F9" s="61" t="str">
        <f ca="1"/>
        <v>Low</v>
      </c>
      <c r="G9" s="109">
        <f ca="1"/>
        <v>46309</v>
      </c>
      <c r="H9" s="110">
        <f ca="1"/>
        <v>-3</v>
      </c>
      <c r="I9" s="64" t="str">
        <f ca="1"/>
        <v>Overdue</v>
      </c>
      <c r="J9" s="34"/>
      <c r="K9" s="36" t="s">
        <v>278</v>
      </c>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row>
    <row r="10" spans="1:52" ht="22.05" customHeight="1" x14ac:dyDescent="0.35">
      <c r="A10" s="34"/>
      <c r="B10" s="65" t="str">
        <f ca="1"/>
        <v>T-002</v>
      </c>
      <c r="C10" s="68" t="str">
        <f ca="1"/>
        <v>Build new pricing page</v>
      </c>
      <c r="D10" s="66" t="str">
        <f ca="1"/>
        <v>Website Redesign</v>
      </c>
      <c r="E10" s="66" t="str">
        <f ca="1"/>
        <v>In Progress</v>
      </c>
      <c r="F10" s="66" t="str">
        <f ca="1"/>
        <v>High</v>
      </c>
      <c r="G10" s="111">
        <f ca="1"/>
        <v>46315</v>
      </c>
      <c r="H10" s="112">
        <f ca="1"/>
        <v>3</v>
      </c>
      <c r="I10" s="69" t="str">
        <f ca="1"/>
        <v>Due soon</v>
      </c>
      <c r="J10" s="34"/>
      <c r="K10" s="37" cm="1">
        <f t="array" ref="K10">COUNTIFS(tblTasks[Owner],$C$5,tblTasks[Status],"&lt;&gt;"&amp;DoneStatus)</f>
        <v>4</v>
      </c>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row>
    <row r="11" spans="1:52" ht="22.05" customHeight="1" x14ac:dyDescent="0.35">
      <c r="A11" s="34"/>
      <c r="B11" s="65" t="str">
        <f ca="1"/>
        <v>T-005</v>
      </c>
      <c r="C11" s="68" t="str">
        <f ca="1"/>
        <v>Migrate blog to new CMS</v>
      </c>
      <c r="D11" s="66" t="str">
        <f ca="1"/>
        <v>Website Redesign</v>
      </c>
      <c r="E11" s="66" t="str">
        <f ca="1"/>
        <v>Blocked</v>
      </c>
      <c r="F11" s="66" t="str">
        <f ca="1"/>
        <v>Normal</v>
      </c>
      <c r="G11" s="111">
        <f ca="1"/>
        <v>46320</v>
      </c>
      <c r="H11" s="112">
        <f ca="1"/>
        <v>8</v>
      </c>
      <c r="I11" s="69" t="str">
        <f ca="1"/>
        <v>On track</v>
      </c>
      <c r="J11" s="34"/>
      <c r="K11" s="38" t="str" cm="1">
        <f t="array" ref="K11">"across "&amp;IFERROR(ROWS(_xlfn.UNIQUE(_xlfn._xlws.FILTER(tblTasks[Project],(tblTasks[Owner]=$C$5)*(tblTasks[Status]&lt;&gt;DoneStatus)))),0)&amp;" projects"</f>
        <v>across 2 projects</v>
      </c>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row>
    <row r="12" spans="1:52" ht="22.05" customHeight="1" x14ac:dyDescent="0.35">
      <c r="A12" s="34"/>
      <c r="B12" s="65" t="str">
        <f ca="1"/>
        <v>T-028</v>
      </c>
      <c r="C12" s="68" t="str">
        <f ca="1"/>
        <v>In-app product tour</v>
      </c>
      <c r="D12" s="66" t="str">
        <f ca="1"/>
        <v>Customer Onboarding</v>
      </c>
      <c r="E12" s="66" t="str">
        <f ca="1"/>
        <v>To Do</v>
      </c>
      <c r="F12" s="66" t="str">
        <f ca="1"/>
        <v>High</v>
      </c>
      <c r="G12" s="111">
        <f ca="1"/>
        <v>46332</v>
      </c>
      <c r="H12" s="112">
        <f ca="1"/>
        <v>20</v>
      </c>
      <c r="I12" s="69" t="str">
        <f ca="1"/>
        <v>On track</v>
      </c>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row>
    <row r="13" spans="1:52" ht="22.05" customHeight="1" x14ac:dyDescent="0.35">
      <c r="A13" s="34"/>
      <c r="B13" s="65"/>
      <c r="C13" s="68"/>
      <c r="D13" s="66"/>
      <c r="E13" s="66"/>
      <c r="F13" s="66"/>
      <c r="G13" s="111"/>
      <c r="H13" s="112"/>
      <c r="I13" s="69"/>
      <c r="J13" s="34"/>
      <c r="K13" s="43"/>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row>
    <row r="14" spans="1:52" ht="22.05" customHeight="1" x14ac:dyDescent="0.35">
      <c r="A14" s="34"/>
      <c r="B14" s="65"/>
      <c r="C14" s="68"/>
      <c r="D14" s="66"/>
      <c r="E14" s="66"/>
      <c r="F14" s="66"/>
      <c r="G14" s="111"/>
      <c r="H14" s="112"/>
      <c r="I14" s="69"/>
      <c r="J14" s="34"/>
      <c r="K14" s="36" t="s">
        <v>234</v>
      </c>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row>
    <row r="15" spans="1:52" ht="22.05" customHeight="1" x14ac:dyDescent="0.35">
      <c r="A15" s="34"/>
      <c r="B15" s="65"/>
      <c r="C15" s="68"/>
      <c r="D15" s="66"/>
      <c r="E15" s="66"/>
      <c r="F15" s="66"/>
      <c r="G15" s="111"/>
      <c r="H15" s="112"/>
      <c r="I15" s="69"/>
      <c r="J15" s="34"/>
      <c r="K15" s="44">
        <f ca="1">COUNTIFS(tblTasks[Owner],$C$5,tblTasks[State],"Overdue")</f>
        <v>1</v>
      </c>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row>
    <row r="16" spans="1:52" ht="22.05" customHeight="1" x14ac:dyDescent="0.35">
      <c r="A16" s="34"/>
      <c r="B16" s="65"/>
      <c r="C16" s="68"/>
      <c r="D16" s="66"/>
      <c r="E16" s="66"/>
      <c r="F16" s="66"/>
      <c r="G16" s="111"/>
      <c r="H16" s="112"/>
      <c r="I16" s="69"/>
      <c r="J16" s="34"/>
      <c r="K16" s="38" t="str">
        <f>"tackle these first"</f>
        <v>tackle these first</v>
      </c>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row>
    <row r="17" spans="1:52" ht="22.05" customHeight="1" x14ac:dyDescent="0.35">
      <c r="A17" s="34"/>
      <c r="B17" s="65"/>
      <c r="C17" s="68"/>
      <c r="D17" s="66"/>
      <c r="E17" s="66"/>
      <c r="F17" s="66"/>
      <c r="G17" s="111"/>
      <c r="H17" s="112"/>
      <c r="I17" s="69"/>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row>
    <row r="18" spans="1:52" ht="22.05" customHeight="1" x14ac:dyDescent="0.35">
      <c r="A18" s="34"/>
      <c r="B18" s="65"/>
      <c r="C18" s="68"/>
      <c r="D18" s="66"/>
      <c r="E18" s="66"/>
      <c r="F18" s="66"/>
      <c r="G18" s="111"/>
      <c r="H18" s="112"/>
      <c r="I18" s="69"/>
      <c r="J18" s="34"/>
      <c r="K18" s="45"/>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row>
    <row r="19" spans="1:52" ht="22.05" customHeight="1" x14ac:dyDescent="0.35">
      <c r="A19" s="34"/>
      <c r="B19" s="65"/>
      <c r="C19" s="68"/>
      <c r="D19" s="66"/>
      <c r="E19" s="66"/>
      <c r="F19" s="66"/>
      <c r="G19" s="111"/>
      <c r="H19" s="112"/>
      <c r="I19" s="69"/>
      <c r="J19" s="34"/>
      <c r="K19" s="36" t="s">
        <v>279</v>
      </c>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row>
    <row r="20" spans="1:52" ht="22.05" customHeight="1" x14ac:dyDescent="0.35">
      <c r="A20" s="34"/>
      <c r="B20" s="65"/>
      <c r="C20" s="68"/>
      <c r="D20" s="66"/>
      <c r="E20" s="66"/>
      <c r="F20" s="66"/>
      <c r="G20" s="111"/>
      <c r="H20" s="112"/>
      <c r="I20" s="69"/>
      <c r="J20" s="34"/>
      <c r="K20" s="37">
        <f ca="1">COUNTIFS(tblTasks[Owner],$C$5,tblTasks[State],"Due soon")</f>
        <v>1</v>
      </c>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row>
    <row r="21" spans="1:52" ht="22.05" customHeight="1" x14ac:dyDescent="0.35">
      <c r="A21" s="34"/>
      <c r="B21" s="65"/>
      <c r="C21" s="68"/>
      <c r="D21" s="66"/>
      <c r="E21" s="66"/>
      <c r="F21" s="66"/>
      <c r="G21" s="111"/>
      <c r="H21" s="112"/>
      <c r="I21" s="69"/>
      <c r="J21" s="34"/>
      <c r="K21" s="38" t="str">
        <f>"in the next 7 days"</f>
        <v>in the next 7 days</v>
      </c>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row>
    <row r="22" spans="1:52" ht="22.05" customHeight="1" x14ac:dyDescent="0.35">
      <c r="A22" s="34"/>
      <c r="B22" s="65"/>
      <c r="C22" s="68"/>
      <c r="D22" s="66"/>
      <c r="E22" s="66"/>
      <c r="F22" s="66"/>
      <c r="G22" s="111"/>
      <c r="H22" s="112"/>
      <c r="I22" s="69"/>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row>
    <row r="23" spans="1:52" ht="22.05" customHeight="1" x14ac:dyDescent="0.35">
      <c r="A23" s="34"/>
      <c r="B23" s="65"/>
      <c r="C23" s="68"/>
      <c r="D23" s="66"/>
      <c r="E23" s="66"/>
      <c r="F23" s="66"/>
      <c r="G23" s="111"/>
      <c r="H23" s="112"/>
      <c r="I23" s="69"/>
      <c r="J23" s="34"/>
      <c r="K23" s="42"/>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row>
    <row r="24" spans="1:52" ht="22.05" customHeight="1" x14ac:dyDescent="0.35">
      <c r="A24" s="34"/>
      <c r="B24" s="65"/>
      <c r="C24" s="68"/>
      <c r="D24" s="66"/>
      <c r="E24" s="66"/>
      <c r="F24" s="66"/>
      <c r="G24" s="111"/>
      <c r="H24" s="112"/>
      <c r="I24" s="69"/>
      <c r="J24" s="34"/>
      <c r="K24" s="36" t="s">
        <v>233</v>
      </c>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row>
    <row r="25" spans="1:52" ht="22.05" customHeight="1" x14ac:dyDescent="0.35">
      <c r="A25" s="34"/>
      <c r="B25" s="65"/>
      <c r="C25" s="68"/>
      <c r="D25" s="66"/>
      <c r="E25" s="66"/>
      <c r="F25" s="66"/>
      <c r="G25" s="111"/>
      <c r="H25" s="112"/>
      <c r="I25" s="69"/>
      <c r="J25" s="34"/>
      <c r="K25" s="124" cm="1">
        <f t="array" ref="K25">COUNTIFS(tblTasks[Owner],$C$5,tblTasks[Status],DoneStatus)</f>
        <v>0</v>
      </c>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row>
    <row r="26" spans="1:52" ht="22.05" customHeight="1" x14ac:dyDescent="0.35">
      <c r="A26" s="34"/>
      <c r="B26" s="65"/>
      <c r="C26" s="68"/>
      <c r="D26" s="66"/>
      <c r="E26" s="66"/>
      <c r="F26" s="66"/>
      <c r="G26" s="111"/>
      <c r="H26" s="112"/>
      <c r="I26" s="69"/>
      <c r="J26" s="34"/>
      <c r="K26" s="38" t="str">
        <f>"tasks finished"</f>
        <v>tasks finished</v>
      </c>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row>
    <row r="27" spans="1:52" ht="22.05" customHeight="1" x14ac:dyDescent="0.35">
      <c r="A27" s="34"/>
      <c r="B27" s="65"/>
      <c r="C27" s="68"/>
      <c r="D27" s="66"/>
      <c r="E27" s="66"/>
      <c r="F27" s="66"/>
      <c r="G27" s="111"/>
      <c r="H27" s="112"/>
      <c r="I27" s="69"/>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row>
    <row r="28" spans="1:52" ht="22.05" customHeight="1" x14ac:dyDescent="0.35">
      <c r="A28" s="34"/>
      <c r="B28" s="70"/>
      <c r="C28" s="73"/>
      <c r="D28" s="71"/>
      <c r="E28" s="71"/>
      <c r="F28" s="71"/>
      <c r="G28" s="113"/>
      <c r="H28" s="114"/>
      <c r="I28" s="74"/>
      <c r="J28" s="34"/>
      <c r="K28" s="1"/>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row>
    <row r="29" spans="1:52" x14ac:dyDescent="0.35">
      <c r="A29" s="34"/>
      <c r="B29" s="34"/>
      <c r="C29" s="34"/>
      <c r="D29" s="34"/>
      <c r="E29" s="34"/>
      <c r="F29" s="34"/>
      <c r="G29" s="34"/>
      <c r="H29" s="34"/>
      <c r="I29" s="34"/>
      <c r="J29" s="34"/>
      <c r="K29" s="36" t="s">
        <v>280</v>
      </c>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row>
    <row r="30" spans="1:52" ht="34.799999999999997" x14ac:dyDescent="0.35">
      <c r="A30" s="34"/>
      <c r="B30" s="34"/>
      <c r="C30" s="34"/>
      <c r="D30" s="34"/>
      <c r="E30" s="34"/>
      <c r="F30" s="34"/>
      <c r="G30" s="34"/>
      <c r="H30" s="34"/>
      <c r="I30" s="34"/>
      <c r="J30" s="34"/>
      <c r="K30" s="37" cm="1">
        <f t="array" aca="1" ref="K30" ca="1">IFERROR(_xlfn.XLOOKUP($C$5,_xlfn.ANCHORARRAY(Scorecards!B8),_xlfn.ANCHORARRAY(Scorecards!I8)),"-")</f>
        <v>15</v>
      </c>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row>
    <row r="31" spans="1:52" ht="25.95" customHeight="1" x14ac:dyDescent="0.45">
      <c r="A31" s="34"/>
      <c r="B31" s="46" t="s">
        <v>277</v>
      </c>
      <c r="C31" s="34"/>
      <c r="D31" s="34"/>
      <c r="E31" s="34"/>
      <c r="F31" s="34"/>
      <c r="G31" s="34"/>
      <c r="H31" s="34"/>
      <c r="I31" s="34"/>
      <c r="J31" s="34"/>
      <c r="K31" s="38" t="str" cm="1">
        <f t="array" aca="1" ref="K31" ca="1">IFERROR(_xlfn.XLOOKUP($C$5,_xlfn.ANCHORARRAY(Scorecards!B8),_xlfn.ANCHORARRAY(Scorecards!J8))&amp;"   rank #"&amp;_xlfn.XLOOKUP($C$5,_xlfn.ANCHORARRAY(Scorecards!B8),_xlfn.ANCHORARRAY(Scorecards!K8)),"")</f>
        <v>★☆☆☆☆   rank #3</v>
      </c>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row>
    <row r="32" spans="1:52" ht="22.05" customHeight="1" x14ac:dyDescent="0.35">
      <c r="A32" s="34"/>
      <c r="B32" s="117" t="str" cm="1">
        <f t="array" ref="B32">_xlfn.LET(_xlpm.me,$C$5,_xlpm.m,(tblTasks[Owner]=_xlpm.me)*(tblTasks[Status]=DoneStatus),IFERROR(_xlfn.TAKE(_xlfn.SORTBY(_xlfn._xlws.FILTER(_xlfn.HSTACK(tblTasks[ID],tblTasks[Task],tblTasks[Project],tblTasks[Completed On]),_xlpm.m),_xlfn._xlws.FILTER(tblTasks[Completed On],_xlpm.m),-1),5),"Nothing completed yet"))</f>
        <v>Nothing completed yet</v>
      </c>
      <c r="C32" s="118"/>
      <c r="D32" s="118"/>
      <c r="E32" s="121"/>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row>
    <row r="33" spans="1:52" ht="22.05" customHeight="1" x14ac:dyDescent="0.35">
      <c r="A33" s="34"/>
      <c r="B33" s="116"/>
      <c r="C33" s="115"/>
      <c r="D33" s="115"/>
      <c r="E33" s="122"/>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row>
    <row r="34" spans="1:52" ht="22.05" customHeight="1" x14ac:dyDescent="0.35">
      <c r="A34" s="34"/>
      <c r="B34" s="116"/>
      <c r="C34" s="115"/>
      <c r="D34" s="115"/>
      <c r="E34" s="122"/>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row>
    <row r="35" spans="1:52" ht="22.05" customHeight="1" x14ac:dyDescent="0.35">
      <c r="A35" s="34"/>
      <c r="B35" s="116"/>
      <c r="C35" s="115"/>
      <c r="D35" s="115"/>
      <c r="E35" s="122"/>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row>
    <row r="36" spans="1:52" ht="22.05" customHeight="1" x14ac:dyDescent="0.35">
      <c r="A36" s="34"/>
      <c r="B36" s="119"/>
      <c r="C36" s="120"/>
      <c r="D36" s="120"/>
      <c r="E36" s="123"/>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row>
    <row r="37" spans="1:52" x14ac:dyDescent="0.35">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row>
    <row r="38" spans="1:52" x14ac:dyDescent="0.35">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row>
    <row r="39" spans="1:52" x14ac:dyDescent="0.35">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row>
    <row r="40" spans="1:52" x14ac:dyDescent="0.35">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row>
    <row r="41" spans="1:52" x14ac:dyDescent="0.35">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row>
    <row r="42" spans="1:52" x14ac:dyDescent="0.35">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row>
    <row r="43" spans="1:52" x14ac:dyDescent="0.35">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row>
    <row r="44" spans="1:52" x14ac:dyDescent="0.35">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row>
    <row r="45" spans="1:52" x14ac:dyDescent="0.35">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row>
    <row r="46" spans="1:52" x14ac:dyDescent="0.35">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row>
    <row r="47" spans="1:52" x14ac:dyDescent="0.35">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row>
    <row r="48" spans="1:52" x14ac:dyDescent="0.35">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row>
    <row r="49" spans="1:52" x14ac:dyDescent="0.35">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row>
    <row r="50" spans="1:52" x14ac:dyDescent="0.35">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row>
    <row r="51" spans="1:52" x14ac:dyDescent="0.35">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row>
    <row r="52" spans="1:52" x14ac:dyDescent="0.35">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row>
    <row r="53" spans="1:52" x14ac:dyDescent="0.35">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row>
    <row r="54" spans="1:52" x14ac:dyDescent="0.35">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row>
    <row r="55" spans="1:52" x14ac:dyDescent="0.3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row>
    <row r="56" spans="1:52" x14ac:dyDescent="0.35">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row>
    <row r="57" spans="1:52" x14ac:dyDescent="0.35">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row>
    <row r="58" spans="1:52" x14ac:dyDescent="0.35">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row>
    <row r="59" spans="1:52" x14ac:dyDescent="0.35">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row>
    <row r="60" spans="1:52" x14ac:dyDescent="0.35">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row>
    <row r="61" spans="1:52" x14ac:dyDescent="0.35">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row>
    <row r="62" spans="1:52" x14ac:dyDescent="0.35">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row>
    <row r="63" spans="1:52" x14ac:dyDescent="0.35">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row>
    <row r="64" spans="1:52" x14ac:dyDescent="0.35">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row>
    <row r="65" spans="1:52" x14ac:dyDescent="0.3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row>
    <row r="66" spans="1:52" x14ac:dyDescent="0.35">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row>
    <row r="67" spans="1:52" x14ac:dyDescent="0.35">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row>
    <row r="68" spans="1:52" x14ac:dyDescent="0.35">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row>
    <row r="69" spans="1:52" x14ac:dyDescent="0.35">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row>
    <row r="70" spans="1:52" x14ac:dyDescent="0.35">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row>
    <row r="71" spans="1:52" x14ac:dyDescent="0.35">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row>
    <row r="72" spans="1:52" x14ac:dyDescent="0.35">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row>
    <row r="73" spans="1:52" x14ac:dyDescent="0.35">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row>
    <row r="74" spans="1:52" x14ac:dyDescent="0.35">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row>
    <row r="75" spans="1:52" x14ac:dyDescent="0.3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row>
    <row r="76" spans="1:52" x14ac:dyDescent="0.35">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row>
    <row r="77" spans="1:52" x14ac:dyDescent="0.35">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row>
    <row r="78" spans="1:52" x14ac:dyDescent="0.35">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row>
    <row r="79" spans="1:52" x14ac:dyDescent="0.35">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row>
    <row r="80" spans="1:52" x14ac:dyDescent="0.35">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row>
    <row r="81" spans="1:52" x14ac:dyDescent="0.35">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row>
    <row r="82" spans="1:52" x14ac:dyDescent="0.35">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row>
    <row r="83" spans="1:52" x14ac:dyDescent="0.35">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row>
    <row r="84" spans="1:52" x14ac:dyDescent="0.35">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row>
    <row r="85" spans="1:52" x14ac:dyDescent="0.3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row>
    <row r="86" spans="1:52" x14ac:dyDescent="0.35">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row>
    <row r="87" spans="1:52" x14ac:dyDescent="0.35">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row>
    <row r="88" spans="1:52" x14ac:dyDescent="0.35">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row>
    <row r="89" spans="1:52" x14ac:dyDescent="0.35">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row>
    <row r="90" spans="1:52" x14ac:dyDescent="0.35">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row>
    <row r="91" spans="1:52" x14ac:dyDescent="0.35">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row>
    <row r="92" spans="1:52" x14ac:dyDescent="0.35">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row>
    <row r="93" spans="1:52" x14ac:dyDescent="0.35">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row>
    <row r="94" spans="1:52" x14ac:dyDescent="0.35">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row>
    <row r="95" spans="1:52" x14ac:dyDescent="0.3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row>
    <row r="96" spans="1:52" x14ac:dyDescent="0.35">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row>
    <row r="97" spans="1:52" x14ac:dyDescent="0.35">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row>
    <row r="98" spans="1:52" x14ac:dyDescent="0.35">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row>
    <row r="99" spans="1:52" x14ac:dyDescent="0.35">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row>
    <row r="100" spans="1:52" x14ac:dyDescent="0.35">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row>
    <row r="101" spans="1:52" x14ac:dyDescent="0.35">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row>
    <row r="102" spans="1:52" x14ac:dyDescent="0.35">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row>
    <row r="103" spans="1:52" x14ac:dyDescent="0.35">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row>
    <row r="104" spans="1:52" x14ac:dyDescent="0.35">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row>
    <row r="105" spans="1:52" x14ac:dyDescent="0.3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row>
    <row r="106" spans="1:52" x14ac:dyDescent="0.35">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row>
    <row r="107" spans="1:52" x14ac:dyDescent="0.35">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row>
    <row r="108" spans="1:52" x14ac:dyDescent="0.35">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row>
    <row r="109" spans="1:52" x14ac:dyDescent="0.35">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row>
    <row r="110" spans="1:52" x14ac:dyDescent="0.35">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row>
    <row r="111" spans="1:52" x14ac:dyDescent="0.35">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row>
    <row r="112" spans="1:52" x14ac:dyDescent="0.35">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row>
    <row r="113" spans="1:52" x14ac:dyDescent="0.35">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row>
    <row r="114" spans="1:52" x14ac:dyDescent="0.35">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row>
    <row r="115" spans="1:52" x14ac:dyDescent="0.3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row>
    <row r="116" spans="1:52" x14ac:dyDescent="0.35">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row>
    <row r="117" spans="1:52" x14ac:dyDescent="0.35">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row>
    <row r="118" spans="1:52" x14ac:dyDescent="0.35">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row>
    <row r="119" spans="1:52" x14ac:dyDescent="0.35">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row>
    <row r="120" spans="1:52" x14ac:dyDescent="0.35">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row>
    <row r="121" spans="1:52" x14ac:dyDescent="0.35">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row>
    <row r="122" spans="1:52" x14ac:dyDescent="0.35">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row>
    <row r="123" spans="1:52" x14ac:dyDescent="0.35">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row>
    <row r="124" spans="1:52" x14ac:dyDescent="0.35">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row>
    <row r="125" spans="1:52" x14ac:dyDescent="0.3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row>
    <row r="126" spans="1:52" x14ac:dyDescent="0.35">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row>
    <row r="127" spans="1:52" x14ac:dyDescent="0.35">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row>
    <row r="128" spans="1:52" x14ac:dyDescent="0.35">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row>
    <row r="129" spans="1:52" x14ac:dyDescent="0.35">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row>
    <row r="130" spans="1:52" x14ac:dyDescent="0.35">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row>
    <row r="131" spans="1:52" x14ac:dyDescent="0.35">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row>
    <row r="132" spans="1:52" x14ac:dyDescent="0.35">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row>
    <row r="133" spans="1:52" x14ac:dyDescent="0.35">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row>
    <row r="134" spans="1:52" x14ac:dyDescent="0.35">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row>
    <row r="135" spans="1:52" x14ac:dyDescent="0.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row>
    <row r="136" spans="1:52" x14ac:dyDescent="0.35">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row>
    <row r="137" spans="1:52" x14ac:dyDescent="0.35">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row>
    <row r="138" spans="1:52" x14ac:dyDescent="0.35">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row>
    <row r="139" spans="1:52" x14ac:dyDescent="0.35">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row>
    <row r="140" spans="1:52" x14ac:dyDescent="0.35">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row>
    <row r="141" spans="1:52" x14ac:dyDescent="0.35">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row>
    <row r="142" spans="1:52" x14ac:dyDescent="0.35">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row>
    <row r="143" spans="1:52" x14ac:dyDescent="0.35">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row>
    <row r="144" spans="1:52" x14ac:dyDescent="0.35">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row>
    <row r="145" spans="1:52" x14ac:dyDescent="0.3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row>
    <row r="146" spans="1:52" x14ac:dyDescent="0.35">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row>
    <row r="147" spans="1:52" x14ac:dyDescent="0.35">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row>
    <row r="148" spans="1:52" x14ac:dyDescent="0.35">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row>
    <row r="149" spans="1:52" x14ac:dyDescent="0.35">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row>
    <row r="150" spans="1:52" x14ac:dyDescent="0.35">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row>
    <row r="151" spans="1:52" x14ac:dyDescent="0.35">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row>
    <row r="152" spans="1:52" x14ac:dyDescent="0.35">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row>
    <row r="153" spans="1:52" x14ac:dyDescent="0.35">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row>
    <row r="154" spans="1:52" x14ac:dyDescent="0.35">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row>
    <row r="155" spans="1:52" x14ac:dyDescent="0.3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row>
    <row r="156" spans="1:52" x14ac:dyDescent="0.35">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row>
    <row r="157" spans="1:52" x14ac:dyDescent="0.35">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row>
    <row r="158" spans="1:52" x14ac:dyDescent="0.35">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row>
    <row r="159" spans="1:52" x14ac:dyDescent="0.35">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row>
    <row r="160" spans="1:52" x14ac:dyDescent="0.35">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row>
    <row r="161" spans="1:52" x14ac:dyDescent="0.35">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row>
    <row r="162" spans="1:52" x14ac:dyDescent="0.35">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row>
    <row r="163" spans="1:52" x14ac:dyDescent="0.35">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row>
    <row r="164" spans="1:52" x14ac:dyDescent="0.35">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row>
    <row r="165" spans="1:52" x14ac:dyDescent="0.3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row>
    <row r="166" spans="1:52" x14ac:dyDescent="0.35">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row>
    <row r="167" spans="1:52" x14ac:dyDescent="0.35">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row>
    <row r="168" spans="1:52" x14ac:dyDescent="0.35">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row>
    <row r="169" spans="1:52" x14ac:dyDescent="0.35">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row>
    <row r="170" spans="1:52" x14ac:dyDescent="0.35">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row>
    <row r="171" spans="1:52" x14ac:dyDescent="0.35">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row>
    <row r="172" spans="1:52" x14ac:dyDescent="0.35">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row>
    <row r="173" spans="1:52" x14ac:dyDescent="0.35">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row>
    <row r="174" spans="1:52" x14ac:dyDescent="0.35">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row>
    <row r="175" spans="1:52" x14ac:dyDescent="0.3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row>
    <row r="176" spans="1:52" x14ac:dyDescent="0.35">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row>
    <row r="177" spans="1:52" x14ac:dyDescent="0.35">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row>
    <row r="178" spans="1:52" x14ac:dyDescent="0.35">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row>
    <row r="179" spans="1:52" x14ac:dyDescent="0.35">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row>
    <row r="180" spans="1:52" x14ac:dyDescent="0.35">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row>
    <row r="181" spans="1:52" x14ac:dyDescent="0.35">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row>
    <row r="182" spans="1:52" x14ac:dyDescent="0.35">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row>
    <row r="183" spans="1:52" x14ac:dyDescent="0.35">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row>
    <row r="184" spans="1:52" x14ac:dyDescent="0.35">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row>
    <row r="185" spans="1:52" x14ac:dyDescent="0.3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row>
    <row r="186" spans="1:52" x14ac:dyDescent="0.35">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row>
    <row r="187" spans="1:52" x14ac:dyDescent="0.35">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row>
    <row r="188" spans="1:52" x14ac:dyDescent="0.35">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row>
    <row r="189" spans="1:52" x14ac:dyDescent="0.35">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row>
    <row r="190" spans="1:52" x14ac:dyDescent="0.35">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row>
    <row r="191" spans="1:52" x14ac:dyDescent="0.35">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row>
    <row r="192" spans="1:52" x14ac:dyDescent="0.35">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row>
    <row r="193" spans="1:52" x14ac:dyDescent="0.35">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row>
    <row r="194" spans="1:52" x14ac:dyDescent="0.35">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row>
    <row r="195" spans="1:52" x14ac:dyDescent="0.3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row>
    <row r="196" spans="1:52" x14ac:dyDescent="0.35">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row>
    <row r="197" spans="1:52" x14ac:dyDescent="0.35">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row>
    <row r="198" spans="1:52" x14ac:dyDescent="0.35">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row>
    <row r="199" spans="1:52" x14ac:dyDescent="0.35">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row>
    <row r="200" spans="1:52" x14ac:dyDescent="0.35">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row>
    <row r="201" spans="1:52" x14ac:dyDescent="0.35">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row>
    <row r="202" spans="1:52" x14ac:dyDescent="0.35">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row>
    <row r="203" spans="1:52" x14ac:dyDescent="0.35">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row>
    <row r="204" spans="1:52" x14ac:dyDescent="0.35">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row>
    <row r="205" spans="1:52" x14ac:dyDescent="0.3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row>
    <row r="206" spans="1:52" x14ac:dyDescent="0.35">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row>
    <row r="207" spans="1:52" x14ac:dyDescent="0.35">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c r="AU207" s="34"/>
      <c r="AV207" s="34"/>
      <c r="AW207" s="34"/>
      <c r="AX207" s="34"/>
      <c r="AY207" s="34"/>
      <c r="AZ207" s="34"/>
    </row>
    <row r="208" spans="1:52" x14ac:dyDescent="0.35">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row>
    <row r="209" spans="1:52" x14ac:dyDescent="0.35">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row>
    <row r="210" spans="1:52" x14ac:dyDescent="0.35">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row>
    <row r="211" spans="1:52" x14ac:dyDescent="0.35">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row>
    <row r="212" spans="1:52" x14ac:dyDescent="0.35">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row>
    <row r="213" spans="1:52" x14ac:dyDescent="0.35">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row>
    <row r="214" spans="1:52" x14ac:dyDescent="0.35">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c r="AU214" s="34"/>
      <c r="AV214" s="34"/>
      <c r="AW214" s="34"/>
      <c r="AX214" s="34"/>
      <c r="AY214" s="34"/>
      <c r="AZ214" s="34"/>
    </row>
    <row r="215" spans="1:52" x14ac:dyDescent="0.3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c r="AU215" s="34"/>
      <c r="AV215" s="34"/>
      <c r="AW215" s="34"/>
      <c r="AX215" s="34"/>
      <c r="AY215" s="34"/>
      <c r="AZ215" s="34"/>
    </row>
    <row r="216" spans="1:52" x14ac:dyDescent="0.35">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c r="AU216" s="34"/>
      <c r="AV216" s="34"/>
      <c r="AW216" s="34"/>
      <c r="AX216" s="34"/>
      <c r="AY216" s="34"/>
      <c r="AZ216" s="34"/>
    </row>
    <row r="217" spans="1:52" x14ac:dyDescent="0.35">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row>
    <row r="218" spans="1:52" x14ac:dyDescent="0.35">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row>
    <row r="219" spans="1:52" x14ac:dyDescent="0.35">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row>
    <row r="220" spans="1:52" x14ac:dyDescent="0.35">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row>
    <row r="221" spans="1:52" x14ac:dyDescent="0.35">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row>
    <row r="222" spans="1:52" x14ac:dyDescent="0.35">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row>
    <row r="223" spans="1:52" x14ac:dyDescent="0.35">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row>
    <row r="224" spans="1:52" x14ac:dyDescent="0.35">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34"/>
      <c r="AU224" s="34"/>
      <c r="AV224" s="34"/>
      <c r="AW224" s="34"/>
      <c r="AX224" s="34"/>
      <c r="AY224" s="34"/>
      <c r="AZ224" s="34"/>
    </row>
    <row r="225" spans="1:52" x14ac:dyDescent="0.3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row>
    <row r="226" spans="1:52" x14ac:dyDescent="0.35">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row>
    <row r="227" spans="1:52" x14ac:dyDescent="0.35">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row>
    <row r="228" spans="1:52" x14ac:dyDescent="0.35">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row>
    <row r="229" spans="1:52" x14ac:dyDescent="0.35">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34"/>
      <c r="AU229" s="34"/>
      <c r="AV229" s="34"/>
      <c r="AW229" s="34"/>
      <c r="AX229" s="34"/>
      <c r="AY229" s="34"/>
      <c r="AZ229" s="34"/>
    </row>
    <row r="230" spans="1:52" x14ac:dyDescent="0.35">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34"/>
      <c r="AU230" s="34"/>
      <c r="AV230" s="34"/>
      <c r="AW230" s="34"/>
      <c r="AX230" s="34"/>
      <c r="AY230" s="34"/>
      <c r="AZ230" s="34"/>
    </row>
    <row r="231" spans="1:52" x14ac:dyDescent="0.35">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row>
    <row r="232" spans="1:52" x14ac:dyDescent="0.35">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row>
    <row r="233" spans="1:52" x14ac:dyDescent="0.35">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c r="AU233" s="34"/>
      <c r="AV233" s="34"/>
      <c r="AW233" s="34"/>
      <c r="AX233" s="34"/>
      <c r="AY233" s="34"/>
      <c r="AZ233" s="34"/>
    </row>
    <row r="234" spans="1:52" x14ac:dyDescent="0.35">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4"/>
      <c r="AW234" s="34"/>
      <c r="AX234" s="34"/>
      <c r="AY234" s="34"/>
      <c r="AZ234" s="34"/>
    </row>
    <row r="235" spans="1:52" x14ac:dyDescent="0.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34"/>
      <c r="AU235" s="34"/>
      <c r="AV235" s="34"/>
      <c r="AW235" s="34"/>
      <c r="AX235" s="34"/>
      <c r="AY235" s="34"/>
      <c r="AZ235" s="34"/>
    </row>
    <row r="236" spans="1:52" x14ac:dyDescent="0.35">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c r="AU236" s="34"/>
      <c r="AV236" s="34"/>
      <c r="AW236" s="34"/>
      <c r="AX236" s="34"/>
      <c r="AY236" s="34"/>
      <c r="AZ236" s="34"/>
    </row>
    <row r="237" spans="1:52" x14ac:dyDescent="0.35">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c r="AS237" s="34"/>
      <c r="AT237" s="34"/>
      <c r="AU237" s="34"/>
      <c r="AV237" s="34"/>
      <c r="AW237" s="34"/>
      <c r="AX237" s="34"/>
      <c r="AY237" s="34"/>
      <c r="AZ237" s="34"/>
    </row>
    <row r="238" spans="1:52" x14ac:dyDescent="0.35">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row>
    <row r="239" spans="1:52" x14ac:dyDescent="0.35">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c r="AU239" s="34"/>
      <c r="AV239" s="34"/>
      <c r="AW239" s="34"/>
      <c r="AX239" s="34"/>
      <c r="AY239" s="34"/>
      <c r="AZ239" s="34"/>
    </row>
    <row r="240" spans="1:52" x14ac:dyDescent="0.3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row>
    <row r="241" spans="1:52" x14ac:dyDescent="0.3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row>
    <row r="242" spans="1:52" x14ac:dyDescent="0.3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row>
    <row r="243" spans="1:52" x14ac:dyDescent="0.3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row>
    <row r="244" spans="1:52" x14ac:dyDescent="0.3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row>
    <row r="245" spans="1:52" x14ac:dyDescent="0.3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c r="AW245" s="34"/>
      <c r="AX245" s="34"/>
      <c r="AY245" s="34"/>
      <c r="AZ245" s="34"/>
    </row>
    <row r="246" spans="1:52" x14ac:dyDescent="0.3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c r="AU246" s="34"/>
      <c r="AV246" s="34"/>
      <c r="AW246" s="34"/>
      <c r="AX246" s="34"/>
      <c r="AY246" s="34"/>
      <c r="AZ246" s="34"/>
    </row>
    <row r="247" spans="1:52" x14ac:dyDescent="0.3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34"/>
      <c r="AU247" s="34"/>
      <c r="AV247" s="34"/>
      <c r="AW247" s="34"/>
      <c r="AX247" s="34"/>
      <c r="AY247" s="34"/>
      <c r="AZ247" s="34"/>
    </row>
    <row r="248" spans="1:52" x14ac:dyDescent="0.3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34"/>
      <c r="AU248" s="34"/>
      <c r="AV248" s="34"/>
      <c r="AW248" s="34"/>
      <c r="AX248" s="34"/>
      <c r="AY248" s="34"/>
      <c r="AZ248" s="34"/>
    </row>
    <row r="249" spans="1:52" x14ac:dyDescent="0.3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row>
    <row r="250" spans="1:52" x14ac:dyDescent="0.35">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row>
    <row r="251" spans="1:52" x14ac:dyDescent="0.35">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row>
    <row r="252" spans="1:52" x14ac:dyDescent="0.35">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row>
    <row r="253" spans="1:52" x14ac:dyDescent="0.35">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row>
    <row r="254" spans="1:52" x14ac:dyDescent="0.35">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34"/>
      <c r="AU254" s="34"/>
      <c r="AV254" s="34"/>
      <c r="AW254" s="34"/>
      <c r="AX254" s="34"/>
      <c r="AY254" s="34"/>
      <c r="AZ254" s="34"/>
    </row>
    <row r="255" spans="1:52" x14ac:dyDescent="0.3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row>
    <row r="256" spans="1:52" x14ac:dyDescent="0.35">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row>
    <row r="257" spans="1:52" x14ac:dyDescent="0.35">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row>
    <row r="258" spans="1:52" x14ac:dyDescent="0.35">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34"/>
      <c r="AW258" s="34"/>
      <c r="AX258" s="34"/>
      <c r="AY258" s="34"/>
      <c r="AZ258" s="34"/>
    </row>
    <row r="259" spans="1:52" x14ac:dyDescent="0.35">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34"/>
      <c r="AW259" s="34"/>
      <c r="AX259" s="34"/>
      <c r="AY259" s="34"/>
      <c r="AZ259" s="34"/>
    </row>
    <row r="260" spans="1:52" x14ac:dyDescent="0.35">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34"/>
      <c r="AW260" s="34"/>
      <c r="AX260" s="34"/>
      <c r="AY260" s="34"/>
      <c r="AZ260" s="34"/>
    </row>
    <row r="261" spans="1:52" x14ac:dyDescent="0.35">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row>
    <row r="262" spans="1:52" x14ac:dyDescent="0.35">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row>
    <row r="263" spans="1:52" x14ac:dyDescent="0.35">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34"/>
      <c r="AW263" s="34"/>
      <c r="AX263" s="34"/>
      <c r="AY263" s="34"/>
      <c r="AZ263" s="34"/>
    </row>
    <row r="264" spans="1:52" x14ac:dyDescent="0.35">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row>
    <row r="265" spans="1:52" x14ac:dyDescent="0.3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row>
    <row r="266" spans="1:52" x14ac:dyDescent="0.35">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row>
    <row r="267" spans="1:52" x14ac:dyDescent="0.35">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row>
    <row r="268" spans="1:52" x14ac:dyDescent="0.35">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row>
    <row r="269" spans="1:52" x14ac:dyDescent="0.35">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row>
    <row r="270" spans="1:52" x14ac:dyDescent="0.35">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row>
    <row r="271" spans="1:52" x14ac:dyDescent="0.35">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row>
    <row r="272" spans="1:52" x14ac:dyDescent="0.35">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row>
    <row r="273" spans="1:52" x14ac:dyDescent="0.35">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4"/>
      <c r="AW273" s="34"/>
      <c r="AX273" s="34"/>
      <c r="AY273" s="34"/>
      <c r="AZ273" s="34"/>
    </row>
    <row r="274" spans="1:52" x14ac:dyDescent="0.35">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34"/>
      <c r="AW274" s="34"/>
      <c r="AX274" s="34"/>
      <c r="AY274" s="34"/>
      <c r="AZ274" s="34"/>
    </row>
    <row r="275" spans="1:52" x14ac:dyDescent="0.3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row>
    <row r="276" spans="1:52" x14ac:dyDescent="0.35">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row>
    <row r="277" spans="1:52" x14ac:dyDescent="0.35">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34"/>
      <c r="AW277" s="34"/>
      <c r="AX277" s="34"/>
      <c r="AY277" s="34"/>
      <c r="AZ277" s="34"/>
    </row>
    <row r="278" spans="1:52" x14ac:dyDescent="0.35">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c r="AU278" s="34"/>
      <c r="AV278" s="34"/>
      <c r="AW278" s="34"/>
      <c r="AX278" s="34"/>
      <c r="AY278" s="34"/>
      <c r="AZ278" s="34"/>
    </row>
    <row r="279" spans="1:52" x14ac:dyDescent="0.35">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row>
    <row r="280" spans="1:52" x14ac:dyDescent="0.35">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c r="AU280" s="34"/>
      <c r="AV280" s="34"/>
      <c r="AW280" s="34"/>
      <c r="AX280" s="34"/>
      <c r="AY280" s="34"/>
      <c r="AZ280" s="34"/>
    </row>
    <row r="281" spans="1:52" x14ac:dyDescent="0.35">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34"/>
      <c r="AW281" s="34"/>
      <c r="AX281" s="34"/>
      <c r="AY281" s="34"/>
      <c r="AZ281" s="34"/>
    </row>
    <row r="282" spans="1:52" x14ac:dyDescent="0.35">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34"/>
      <c r="AW282" s="34"/>
      <c r="AX282" s="34"/>
      <c r="AY282" s="34"/>
      <c r="AZ282" s="34"/>
    </row>
    <row r="283" spans="1:52" x14ac:dyDescent="0.35">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row>
    <row r="284" spans="1:52" x14ac:dyDescent="0.35">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34"/>
      <c r="AW284" s="34"/>
      <c r="AX284" s="34"/>
      <c r="AY284" s="34"/>
      <c r="AZ284" s="34"/>
    </row>
    <row r="285" spans="1:52" x14ac:dyDescent="0.3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row>
    <row r="286" spans="1:52" x14ac:dyDescent="0.35">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row>
    <row r="287" spans="1:52" x14ac:dyDescent="0.35">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row>
    <row r="288" spans="1:52" x14ac:dyDescent="0.35">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34"/>
      <c r="AW288" s="34"/>
      <c r="AX288" s="34"/>
      <c r="AY288" s="34"/>
      <c r="AZ288" s="34"/>
    </row>
    <row r="289" spans="1:52" x14ac:dyDescent="0.35">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34"/>
      <c r="AW289" s="34"/>
      <c r="AX289" s="34"/>
      <c r="AY289" s="34"/>
      <c r="AZ289" s="34"/>
    </row>
    <row r="290" spans="1:52" x14ac:dyDescent="0.35">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row>
    <row r="291" spans="1:52" x14ac:dyDescent="0.35">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row>
    <row r="292" spans="1:52" x14ac:dyDescent="0.35">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row>
    <row r="293" spans="1:52" x14ac:dyDescent="0.35">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AW293" s="34"/>
      <c r="AX293" s="34"/>
      <c r="AY293" s="34"/>
      <c r="AZ293" s="34"/>
    </row>
    <row r="294" spans="1:52" x14ac:dyDescent="0.35">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row>
    <row r="295" spans="1:52" x14ac:dyDescent="0.3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34"/>
      <c r="AW295" s="34"/>
      <c r="AX295" s="34"/>
      <c r="AY295" s="34"/>
      <c r="AZ295" s="34"/>
    </row>
    <row r="296" spans="1:52" x14ac:dyDescent="0.35">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34"/>
      <c r="AW296" s="34"/>
      <c r="AX296" s="34"/>
      <c r="AY296" s="34"/>
      <c r="AZ296" s="34"/>
    </row>
    <row r="297" spans="1:52" x14ac:dyDescent="0.35">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AW297" s="34"/>
      <c r="AX297" s="34"/>
      <c r="AY297" s="34"/>
      <c r="AZ297" s="34"/>
    </row>
    <row r="298" spans="1:52" x14ac:dyDescent="0.35">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AW298" s="34"/>
      <c r="AX298" s="34"/>
      <c r="AY298" s="34"/>
      <c r="AZ298" s="34"/>
    </row>
    <row r="299" spans="1:52" x14ac:dyDescent="0.35">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AW299" s="34"/>
      <c r="AX299" s="34"/>
      <c r="AY299" s="34"/>
      <c r="AZ299" s="34"/>
    </row>
    <row r="300" spans="1:52" x14ac:dyDescent="0.35">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34"/>
      <c r="AW300" s="34"/>
      <c r="AX300" s="34"/>
      <c r="AY300" s="34"/>
      <c r="AZ300" s="34"/>
    </row>
  </sheetData>
  <mergeCells count="1">
    <mergeCell ref="D5:I5"/>
  </mergeCells>
  <conditionalFormatting sqref="F9:F28">
    <cfRule type="expression" dxfId="29" priority="3">
      <formula>F9="Urgent"</formula>
    </cfRule>
    <cfRule type="expression" dxfId="28" priority="4">
      <formula>F9="High"</formula>
    </cfRule>
    <cfRule type="expression" dxfId="27" priority="5">
      <formula>F9="Normal"</formula>
    </cfRule>
    <cfRule type="expression" dxfId="26" priority="6">
      <formula>F9="Low"</formula>
    </cfRule>
  </conditionalFormatting>
  <conditionalFormatting sqref="I9:I28">
    <cfRule type="expression" dxfId="25" priority="1">
      <formula>I9="Overdue"</formula>
    </cfRule>
    <cfRule type="expression" dxfId="24" priority="2">
      <formula>I9="Due soon"</formula>
    </cfRule>
  </conditionalFormatting>
  <dataValidations count="1">
    <dataValidation type="list" allowBlank="1" showInputMessage="1" showErrorMessage="1" promptTitle="Who are you?" prompt="Pick your name to see your tasks" sqref="C5" xr:uid="{D3C93A0D-BF7F-4A41-A6E1-69B20F54D194}">
      <formula1>lstMembers</formula1>
    </dataValidation>
  </dataValidations>
  <hyperlinks>
    <hyperlink ref="K2" location="'Home'!A1" display="⌂  Home" xr:uid="{4A526E29-C4B9-4A25-9257-21E70AD07A2B}"/>
  </hyperlinks>
  <pageMargins left="0.7" right="0.7" top="0.75" bottom="0.75" header="0.3" footer="0.3"/>
  <pageSetup scale="77"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16798-F086-4893-8F1F-FCE6263EE2B1}">
  <sheetPr>
    <tabColor rgb="FF0E9AB5"/>
    <pageSetUpPr fitToPage="1"/>
  </sheetPr>
  <dimension ref="A1:AZ300"/>
  <sheetViews>
    <sheetView showGridLines="0" showRowColHeaders="0" zoomScale="90" zoomScaleNormal="90" workbookViewId="0">
      <selection activeCell="H2" sqref="H2"/>
    </sheetView>
  </sheetViews>
  <sheetFormatPr defaultRowHeight="15" x14ac:dyDescent="0.35"/>
  <cols>
    <col min="1" max="1" width="2.77734375" customWidth="1"/>
    <col min="2" max="8" width="23.77734375" customWidth="1"/>
    <col min="9" max="9" width="2.77734375" customWidth="1"/>
  </cols>
  <sheetData>
    <row r="1" spans="1:52" ht="7.95" customHeight="1" x14ac:dyDescent="0.35">
      <c r="A1" s="1"/>
      <c r="B1" s="1"/>
      <c r="C1" s="1"/>
      <c r="D1" s="1"/>
      <c r="E1" s="1"/>
      <c r="F1" s="1"/>
      <c r="G1" s="1"/>
      <c r="H1" s="1"/>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row>
    <row r="2" spans="1:52" ht="34.049999999999997" customHeight="1" x14ac:dyDescent="0.35">
      <c r="A2" s="1"/>
      <c r="B2" s="2" t="s">
        <v>281</v>
      </c>
      <c r="C2" s="1"/>
      <c r="D2" s="1"/>
      <c r="E2" s="1"/>
      <c r="F2" s="1"/>
      <c r="G2" s="1"/>
      <c r="H2" s="4" t="s">
        <v>2</v>
      </c>
      <c r="I2" s="34"/>
      <c r="J2" s="34"/>
      <c r="K2" s="34"/>
      <c r="L2" s="34"/>
      <c r="M2" s="34"/>
      <c r="N2" s="34"/>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row>
    <row r="3" spans="1:52" ht="19.95" customHeight="1" x14ac:dyDescent="0.35">
      <c r="A3" s="1"/>
      <c r="B3" s="3" t="s">
        <v>282</v>
      </c>
      <c r="C3" s="1"/>
      <c r="D3" s="1"/>
      <c r="E3" s="1"/>
      <c r="F3" s="1"/>
      <c r="G3" s="1"/>
      <c r="H3" s="1"/>
      <c r="I3" s="34"/>
      <c r="J3" s="34"/>
      <c r="K3" s="34"/>
      <c r="L3" s="34"/>
      <c r="M3" s="34"/>
      <c r="N3" s="34"/>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row>
    <row r="4" spans="1:52" ht="10.050000000000001" customHeight="1" thickBot="1" x14ac:dyDescent="0.4">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row>
    <row r="5" spans="1:52" ht="28.05" customHeight="1" thickBot="1" x14ac:dyDescent="0.4">
      <c r="A5" s="34"/>
      <c r="B5" s="125" t="s">
        <v>283</v>
      </c>
      <c r="C5" s="126" t="s">
        <v>38</v>
      </c>
      <c r="D5" s="125" t="s">
        <v>284</v>
      </c>
      <c r="E5" s="127">
        <f ca="1">YEAR(TODAY())</f>
        <v>2026</v>
      </c>
      <c r="F5" s="262" t="s">
        <v>285</v>
      </c>
      <c r="G5" s="263"/>
      <c r="H5" s="263"/>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row>
    <row r="6" spans="1:52" ht="10.050000000000001" customHeight="1" x14ac:dyDescent="0.35">
      <c r="A6" s="34"/>
      <c r="B6" s="34"/>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row>
    <row r="7" spans="1:52" ht="22.05" customHeight="1" x14ac:dyDescent="0.35">
      <c r="A7" s="34"/>
      <c r="B7" s="128" t="s">
        <v>286</v>
      </c>
      <c r="C7" s="128" t="s">
        <v>287</v>
      </c>
      <c r="D7" s="128" t="s">
        <v>288</v>
      </c>
      <c r="E7" s="128" t="s">
        <v>289</v>
      </c>
      <c r="F7" s="128" t="s">
        <v>290</v>
      </c>
      <c r="G7" s="128" t="s">
        <v>291</v>
      </c>
      <c r="H7" s="128" t="s">
        <v>292</v>
      </c>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row>
    <row r="8" spans="1:52" ht="88.05" customHeight="1" x14ac:dyDescent="0.35">
      <c r="A8" s="34"/>
      <c r="B8" s="129" t="str" cm="1">
        <f t="array" aca="1" ref="B8"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28</v>
      </c>
      <c r="C8" s="129" t="str" cm="1">
        <f t="array" aca="1" ref="C8"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29</v>
      </c>
      <c r="D8" s="129" t="str" cm="1">
        <f t="array" aca="1" ref="D8"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30</v>
      </c>
      <c r="E8" s="129" t="str" cm="1">
        <f t="array" aca="1" ref="E8"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1
⚠ Budget approval</v>
      </c>
      <c r="F8" s="129" t="str" cm="1">
        <f t="array" aca="1" ref="F8"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2</v>
      </c>
      <c r="G8" s="129" t="str" cm="1">
        <f t="array" aca="1" ref="G8"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3</v>
      </c>
      <c r="H8" s="129" t="str" cm="1">
        <f t="array" aca="1" ref="H8"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4</v>
      </c>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row>
    <row r="9" spans="1:52" ht="88.05" customHeight="1" x14ac:dyDescent="0.35">
      <c r="A9" s="34"/>
      <c r="B9" s="129" t="str" cm="1">
        <f t="array" aca="1" ref="B9"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5
⚠ Finalize homepage wireframes</v>
      </c>
      <c r="C9" s="129" t="str" cm="1">
        <f t="array" aca="1" ref="C9"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6
⚠ Crash reporting setup</v>
      </c>
      <c r="D9" s="129" t="str" cm="1">
        <f t="array" aca="1" ref="D9"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7
⚠ Map current onboarding journey</v>
      </c>
      <c r="E9" s="129" t="str" cm="1">
        <f t="array" aca="1" ref="E9"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8</v>
      </c>
      <c r="F9" s="129" t="str" cm="1">
        <f t="array" aca="1" ref="F9"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9
⚠ Dark theme UI</v>
      </c>
      <c r="G9" s="129" t="str" cm="1">
        <f t="array" aca="1" ref="G9"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10
⚠ Weekly team sync notes</v>
      </c>
      <c r="H9" s="129" t="str" cm="1">
        <f t="array" aca="1" ref="H9"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11</v>
      </c>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row>
    <row r="10" spans="1:52" ht="88.05" customHeight="1" x14ac:dyDescent="0.35">
      <c r="A10" s="34"/>
      <c r="B10" s="129" t="str" cm="1">
        <f t="array" aca="1" ref="B10"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12
⚠ Dashboard data clean-up</v>
      </c>
      <c r="C10" s="129" t="str" cm="1">
        <f t="array" aca="1" ref="C10"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13
⚠ Customer churn analysis</v>
      </c>
      <c r="D10" s="129" t="str" cm="1">
        <f t="array" aca="1" ref="D10"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14
⚠ Optimize image loading
⚠ Beta tester feedback round</v>
      </c>
      <c r="E10" s="129" t="str" cm="1">
        <f t="array" aca="1" ref="E10"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15
⚠ Landing page A/B test</v>
      </c>
      <c r="F10" s="129" t="str" cm="1">
        <f t="array" aca="1" ref="F10"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16
⚠ QA signup flow on mobile</v>
      </c>
      <c r="G10" s="129" t="str" cm="1">
        <f t="array" aca="1" ref="G10"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17   ·  TODAY
• Push notification service
• Kickoff &amp; timeline</v>
      </c>
      <c r="H10" s="129" t="str" cm="1">
        <f t="array" aca="1" ref="H10"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18
• Write pricing page copy
• Vendor contract renewal
• 1st Priority task</v>
      </c>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row>
    <row r="11" spans="1:52" ht="88.05" customHeight="1" x14ac:dyDescent="0.35">
      <c r="A11" s="34"/>
      <c r="B11" s="129" t="str" cm="1">
        <f t="array" aca="1" ref="B11"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19
• Social media calendar
• Customer interview round</v>
      </c>
      <c r="C11" s="129" t="str" cm="1">
        <f t="array" aca="1" ref="C11"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20
• Build new pricing page</v>
      </c>
      <c r="D11" s="129" t="str" cm="1">
        <f t="array" aca="1" ref="D11"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21
• Offline sync engine
• Onboarding success metrics</v>
      </c>
      <c r="E11" s="129" t="str" cm="1">
        <f t="array" aca="1" ref="E11"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22
• Set up analytics events
• Q4 hiring plan</v>
      </c>
      <c r="F11" s="129" t="str" cm="1">
        <f t="array" aca="1" ref="F11"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23
• Holiday email sequence</v>
      </c>
      <c r="G11" s="129" t="str" cm="1">
        <f t="array" aca="1" ref="G11"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24
• Regression test suite</v>
      </c>
      <c r="H11" s="129" t="str" cm="1">
        <f t="array" aca="1" ref="H11"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25
• Migrate blog to new CMS</v>
      </c>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row>
    <row r="12" spans="1:52" ht="88.05" customHeight="1" x14ac:dyDescent="0.35">
      <c r="A12" s="34"/>
      <c r="B12" s="129" t="str" cm="1">
        <f t="array" aca="1" ref="B12"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26
• App store screenshots
• Welcome email series</v>
      </c>
      <c r="C12" s="129" t="str" cm="1">
        <f t="array" aca="1" ref="C12"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27
• Paid ads creative
• Release notes v2.0</v>
      </c>
      <c r="D12" s="129" t="str" cm="1">
        <f t="array" aca="1" ref="D12"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28</v>
      </c>
      <c r="E12" s="129" t="str" cm="1">
        <f t="array" aca="1" ref="E12"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29
• Press release draft</v>
      </c>
      <c r="F12" s="129" t="str" cm="1">
        <f t="array" aca="1" ref="F12"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30</v>
      </c>
      <c r="G12" s="129" t="str" cm="1">
        <f t="array" aca="1" ref="G12"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31
• Accessibility audit
• Collect department KPIs</v>
      </c>
      <c r="H12" s="129" t="str" cm="1">
        <f t="array" aca="1" ref="H12"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1</v>
      </c>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row>
    <row r="13" spans="1:52" ht="88.05" customHeight="1" x14ac:dyDescent="0.35">
      <c r="A13" s="34"/>
      <c r="B13" s="129" t="str" cm="1">
        <f t="array" aca="1" ref="B13"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2
• Security awareness training</v>
      </c>
      <c r="C13" s="129" t="str" cm="1">
        <f t="array" aca="1" ref="C13"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3</v>
      </c>
      <c r="D13" s="129" t="str" cm="1">
        <f t="array" aca="1" ref="D13"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4
• Influencer shortlist</v>
      </c>
      <c r="E13" s="129" t="str" cm="1">
        <f t="array" aca="1" ref="E13"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5</v>
      </c>
      <c r="F13" s="129" t="str" cm="1">
        <f t="array" aca="1" ref="F13"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6
• In-app product tour</v>
      </c>
      <c r="G13" s="129" t="str" cm="1">
        <f t="array" aca="1" ref="G13"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7</v>
      </c>
      <c r="H13" s="129" t="str" cm="1">
        <f t="array" aca="1" ref="H13" ca="1">_xlfn.LET(_xlpm.d,CalStart+(ROW()-ROW($B$8))*7+COLUMN()-COLUMN($B$8),_xlpm.m,(tblTasks[Due Date]=_xlpm.d)*(tblTasks[Visible]=1)*(tblTasks[Task]&lt;&gt;""),_xlpm.n,SUM(_xlpm.m),_xlpm.t,IF(_xlpm.n=0,"",_xlfn.TEXTJOIN(CHAR(10),TRUE,_xlfn.TAKE(_xlfn._xlws.FILTER(IF(tblTasks[State]="Overdue","⚠ ",IF(tblTasks[Status]=DoneStatus,"✓ ","• "))&amp;tblTasks[Task],_xlpm.m),3))),DAY(_xlpm.d)&amp;IF(_xlpm.d=TODAY(),"   ·  TODAY","")&amp;IF(_xlpm.n=0,"",CHAR(10)&amp;_xlpm.t&amp;IF(_xlpm.n&gt;3,CHAR(10)&amp;"+"&amp;(_xlpm.n-3)&amp;" more","")))</f>
        <v>8
• Launch-day checklist</v>
      </c>
      <c r="I13" s="34"/>
      <c r="J13" s="3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row>
    <row r="14" spans="1:52" x14ac:dyDescent="0.35">
      <c r="A14" s="34"/>
      <c r="B14" s="34"/>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row>
    <row r="15" spans="1:52" x14ac:dyDescent="0.35">
      <c r="A15" s="34"/>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row>
    <row r="16" spans="1:52" ht="25.95" customHeight="1" x14ac:dyDescent="0.45">
      <c r="A16" s="34"/>
      <c r="B16" s="46" t="s">
        <v>293</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row>
    <row r="17" spans="1:52" ht="19.95" customHeight="1" x14ac:dyDescent="0.35">
      <c r="A17" s="34"/>
      <c r="B17" s="51" t="s">
        <v>241</v>
      </c>
      <c r="C17" s="52" t="s">
        <v>240</v>
      </c>
      <c r="D17" s="52" t="s">
        <v>243</v>
      </c>
      <c r="E17" s="52" t="s">
        <v>275</v>
      </c>
      <c r="F17" s="52" t="s">
        <v>244</v>
      </c>
      <c r="G17" s="52" t="s">
        <v>245</v>
      </c>
      <c r="H17" s="57"/>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row>
    <row r="18" spans="1:52" ht="19.95" customHeight="1" x14ac:dyDescent="0.35">
      <c r="A18" s="34"/>
      <c r="B18" s="130" cm="1">
        <f t="array" aca="1" ref="B18:G39" ca="1">_xlfn.LET(_xlpm.m,(tblTasks[Visible]=1)*(tblTasks[Status]&lt;&gt;DoneStatus)*ISNUMBER(tblTasks[Due Date])*(tblTasks[Due Date]&gt;=TODAY())*(tblTasks[Due Date]&lt;=TODAY()+14),IFERROR(_xlfn.SORTBY(_xlfn._xlws.FILTER(_xlfn.HSTACK(tblTasks[Due Date],tblTasks[Priority],tblTasks[Owner],tblTasks[Status],tblTasks[Project],tblTasks[Task]),_xlpm.m),_xlfn._xlws.FILTER(tblTasks[DueKey],_xlpm.m),1),"Nothing due in the next two weeks"))</f>
        <v>46312</v>
      </c>
      <c r="C18" s="48" t="str">
        <f ca="1"/>
        <v>High</v>
      </c>
      <c r="D18" s="48" t="str">
        <f ca="1"/>
        <v>Omar Haddad</v>
      </c>
      <c r="E18" s="48" t="str">
        <f ca="1"/>
        <v>Review</v>
      </c>
      <c r="F18" s="48" t="str">
        <f ca="1"/>
        <v>Mobile App v2</v>
      </c>
      <c r="G18" s="49" t="str">
        <f ca="1"/>
        <v>Push notification service</v>
      </c>
      <c r="H18" s="58"/>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row>
    <row r="19" spans="1:52" ht="19.95" customHeight="1" x14ac:dyDescent="0.35">
      <c r="A19" s="34"/>
      <c r="B19" s="130">
        <f ca="1"/>
        <v>46312</v>
      </c>
      <c r="C19" s="48" t="str">
        <f ca="1"/>
        <v>Normal</v>
      </c>
      <c r="D19" s="48" t="str">
        <f ca="1"/>
        <v>Sara Ali</v>
      </c>
      <c r="E19" s="48" t="str">
        <f ca="1"/>
        <v>Done</v>
      </c>
      <c r="F19" s="48" t="str">
        <f ca="1"/>
        <v>Annual Report 2026</v>
      </c>
      <c r="G19" s="49" t="str">
        <f ca="1"/>
        <v>Kickoff &amp; timeline</v>
      </c>
      <c r="H19" s="58"/>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row>
    <row r="20" spans="1:52" ht="19.95" customHeight="1" x14ac:dyDescent="0.35">
      <c r="A20" s="34"/>
      <c r="B20" s="130">
        <f ca="1"/>
        <v>46313</v>
      </c>
      <c r="C20" s="48" t="str">
        <f ca="1"/>
        <v>Normal</v>
      </c>
      <c r="D20" s="48" t="str">
        <f ca="1"/>
        <v>Aisha Bello</v>
      </c>
      <c r="E20" s="48" t="str">
        <f ca="1"/>
        <v>Review</v>
      </c>
      <c r="F20" s="48" t="str">
        <f ca="1"/>
        <v>Website Redesign</v>
      </c>
      <c r="G20" s="49" t="str">
        <f ca="1"/>
        <v>Write pricing page copy</v>
      </c>
      <c r="H20" s="58"/>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row>
    <row r="21" spans="1:52" ht="19.95" customHeight="1" x14ac:dyDescent="0.35">
      <c r="A21" s="34"/>
      <c r="B21" s="130">
        <f ca="1"/>
        <v>46313</v>
      </c>
      <c r="C21" s="48" t="str">
        <f ca="1"/>
        <v>Urgent</v>
      </c>
      <c r="D21" s="48" t="str">
        <f ca="1"/>
        <v>Ravi Kumar</v>
      </c>
      <c r="E21" s="48" t="str">
        <f ca="1"/>
        <v>In Progress</v>
      </c>
      <c r="F21" s="48" t="str">
        <f ca="1"/>
        <v>General / Ops</v>
      </c>
      <c r="G21" s="49" t="str">
        <f ca="1"/>
        <v>Vendor contract renewal</v>
      </c>
      <c r="H21" s="58"/>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row>
    <row r="22" spans="1:52" ht="19.95" customHeight="1" x14ac:dyDescent="0.35">
      <c r="A22" s="34"/>
      <c r="B22" s="130">
        <f ca="1"/>
        <v>46313</v>
      </c>
      <c r="C22" s="48" t="str">
        <f ca="1"/>
        <v>High</v>
      </c>
      <c r="D22" s="48" t="str">
        <f ca="1"/>
        <v>Maya Chen</v>
      </c>
      <c r="E22" s="48" t="str">
        <f ca="1"/>
        <v>Back Log</v>
      </c>
      <c r="F22" s="48" t="str">
        <f ca="1"/>
        <v>ExCon</v>
      </c>
      <c r="G22" s="49" t="str">
        <f ca="1"/>
        <v>1st Priority task</v>
      </c>
      <c r="H22" s="58"/>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row>
    <row r="23" spans="1:52" ht="19.95" customHeight="1" x14ac:dyDescent="0.35">
      <c r="A23" s="34"/>
      <c r="B23" s="130">
        <f ca="1"/>
        <v>46314</v>
      </c>
      <c r="C23" s="48" t="str">
        <f ca="1"/>
        <v>Normal</v>
      </c>
      <c r="D23" s="48" t="str">
        <f ca="1"/>
        <v>Lina Park</v>
      </c>
      <c r="E23" s="48" t="str">
        <f ca="1"/>
        <v>Review</v>
      </c>
      <c r="F23" s="48" t="str">
        <f ca="1"/>
        <v>Q4 Marketing Campaign</v>
      </c>
      <c r="G23" s="49" t="str">
        <f ca="1"/>
        <v>Social media calendar</v>
      </c>
      <c r="H23" s="58"/>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row>
    <row r="24" spans="1:52" ht="19.95" customHeight="1" x14ac:dyDescent="0.35">
      <c r="A24" s="34"/>
      <c r="B24" s="130">
        <f ca="1"/>
        <v>46314</v>
      </c>
      <c r="C24" s="48" t="str">
        <f ca="1"/>
        <v>Normal</v>
      </c>
      <c r="D24" s="48" t="str">
        <f ca="1"/>
        <v>Maya Chen</v>
      </c>
      <c r="E24" s="48" t="str">
        <f ca="1"/>
        <v>In Progress</v>
      </c>
      <c r="F24" s="48" t="str">
        <f ca="1"/>
        <v>Customer Onboarding</v>
      </c>
      <c r="G24" s="49" t="str">
        <f ca="1"/>
        <v>Customer interview round</v>
      </c>
      <c r="H24" s="58"/>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row>
    <row r="25" spans="1:52" ht="19.95" customHeight="1" x14ac:dyDescent="0.35">
      <c r="A25" s="34"/>
      <c r="B25" s="130">
        <f ca="1"/>
        <v>46315</v>
      </c>
      <c r="C25" s="48" t="str">
        <f ca="1"/>
        <v>High</v>
      </c>
      <c r="D25" s="48" t="str">
        <f ca="1"/>
        <v>Diego Santos</v>
      </c>
      <c r="E25" s="48" t="str">
        <f ca="1"/>
        <v>In Progress</v>
      </c>
      <c r="F25" s="48" t="str">
        <f ca="1"/>
        <v>Website Redesign</v>
      </c>
      <c r="G25" s="49" t="str">
        <f ca="1"/>
        <v>Build new pricing page</v>
      </c>
      <c r="H25" s="58"/>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row>
    <row r="26" spans="1:52" ht="19.95" customHeight="1" x14ac:dyDescent="0.35">
      <c r="A26" s="34"/>
      <c r="B26" s="130">
        <f ca="1"/>
        <v>46316</v>
      </c>
      <c r="C26" s="48" t="str">
        <f ca="1"/>
        <v>Urgent</v>
      </c>
      <c r="D26" s="48" t="str">
        <f ca="1"/>
        <v>Omar Haddad</v>
      </c>
      <c r="E26" s="48" t="str">
        <f ca="1"/>
        <v>In Progress</v>
      </c>
      <c r="F26" s="48" t="str">
        <f ca="1"/>
        <v>Mobile App v2</v>
      </c>
      <c r="G26" s="49" t="str">
        <f ca="1"/>
        <v>Offline sync engine</v>
      </c>
      <c r="H26" s="58"/>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row>
    <row r="27" spans="1:52" ht="19.95" customHeight="1" x14ac:dyDescent="0.35">
      <c r="A27" s="34"/>
      <c r="B27" s="130">
        <f ca="1"/>
        <v>46316</v>
      </c>
      <c r="C27" s="48" t="str">
        <f ca="1"/>
        <v>Normal</v>
      </c>
      <c r="D27" s="48" t="str">
        <f ca="1"/>
        <v>Jack Moore</v>
      </c>
      <c r="E27" s="48" t="str">
        <f ca="1"/>
        <v>Review</v>
      </c>
      <c r="F27" s="48" t="str">
        <f ca="1"/>
        <v>Customer Onboarding</v>
      </c>
      <c r="G27" s="49" t="str">
        <f ca="1"/>
        <v>Onboarding success metrics</v>
      </c>
      <c r="H27" s="58"/>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row>
    <row r="28" spans="1:52" ht="19.95" customHeight="1" x14ac:dyDescent="0.35">
      <c r="A28" s="34"/>
      <c r="B28" s="130">
        <f ca="1"/>
        <v>46317</v>
      </c>
      <c r="C28" s="48" t="str">
        <f ca="1"/>
        <v>Normal</v>
      </c>
      <c r="D28" s="48" t="str">
        <f ca="1"/>
        <v>Jack Moore</v>
      </c>
      <c r="E28" s="48" t="str">
        <f ca="1"/>
        <v>In Progress</v>
      </c>
      <c r="F28" s="48" t="str">
        <f ca="1"/>
        <v>Website Redesign</v>
      </c>
      <c r="G28" s="49" t="str">
        <f ca="1"/>
        <v>Set up analytics events</v>
      </c>
      <c r="H28" s="58"/>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row>
    <row r="29" spans="1:52" ht="19.95" customHeight="1" x14ac:dyDescent="0.35">
      <c r="A29" s="34"/>
      <c r="B29" s="130">
        <f ca="1"/>
        <v>46317</v>
      </c>
      <c r="C29" s="48" t="str">
        <f ca="1"/>
        <v>High</v>
      </c>
      <c r="D29" s="48" t="str">
        <f ca="1"/>
        <v>Sara Ali</v>
      </c>
      <c r="E29" s="48" t="str">
        <f ca="1"/>
        <v>Review</v>
      </c>
      <c r="F29" s="48" t="str">
        <f ca="1"/>
        <v>General / Ops</v>
      </c>
      <c r="G29" s="49" t="str">
        <f ca="1"/>
        <v>Q4 hiring plan</v>
      </c>
      <c r="H29" s="58"/>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row>
    <row r="30" spans="1:52" ht="19.95" customHeight="1" x14ac:dyDescent="0.35">
      <c r="A30" s="34"/>
      <c r="B30" s="130">
        <f ca="1"/>
        <v>46318</v>
      </c>
      <c r="C30" s="48" t="str">
        <f ca="1"/>
        <v>High</v>
      </c>
      <c r="D30" s="48" t="str">
        <f ca="1"/>
        <v>Aisha Bello</v>
      </c>
      <c r="E30" s="48" t="str">
        <f ca="1"/>
        <v>In Progress</v>
      </c>
      <c r="F30" s="48" t="str">
        <f ca="1"/>
        <v>Q4 Marketing Campaign</v>
      </c>
      <c r="G30" s="49" t="str">
        <f ca="1"/>
        <v>Holiday email sequence</v>
      </c>
      <c r="H30" s="58"/>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row>
    <row r="31" spans="1:52" ht="19.95" customHeight="1" x14ac:dyDescent="0.35">
      <c r="A31" s="34"/>
      <c r="B31" s="130">
        <f ca="1"/>
        <v>46319</v>
      </c>
      <c r="C31" s="48" t="str">
        <f ca="1"/>
        <v>High</v>
      </c>
      <c r="D31" s="48" t="str">
        <f ca="1"/>
        <v>Tom Becker</v>
      </c>
      <c r="E31" s="48" t="str">
        <f ca="1"/>
        <v>In Progress</v>
      </c>
      <c r="F31" s="48" t="str">
        <f ca="1"/>
        <v>Mobile App v2</v>
      </c>
      <c r="G31" s="49" t="str">
        <f ca="1"/>
        <v>Regression test suite</v>
      </c>
      <c r="H31" s="58"/>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row>
    <row r="32" spans="1:52" ht="19.95" customHeight="1" x14ac:dyDescent="0.35">
      <c r="A32" s="34"/>
      <c r="B32" s="130">
        <f ca="1"/>
        <v>46320</v>
      </c>
      <c r="C32" s="48" t="str">
        <f ca="1"/>
        <v>Normal</v>
      </c>
      <c r="D32" s="48" t="str">
        <f ca="1"/>
        <v>Diego Santos</v>
      </c>
      <c r="E32" s="48" t="str">
        <f ca="1"/>
        <v>Blocked</v>
      </c>
      <c r="F32" s="48" t="str">
        <f ca="1"/>
        <v>Website Redesign</v>
      </c>
      <c r="G32" s="49" t="str">
        <f ca="1"/>
        <v>Migrate blog to new CMS</v>
      </c>
      <c r="H32" s="58"/>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row>
    <row r="33" spans="1:52" ht="19.95" customHeight="1" x14ac:dyDescent="0.35">
      <c r="A33" s="34"/>
      <c r="B33" s="130">
        <f ca="1"/>
        <v>46321</v>
      </c>
      <c r="C33" s="48" t="str">
        <f ca="1"/>
        <v>Low</v>
      </c>
      <c r="D33" s="48" t="str">
        <f ca="1"/>
        <v>Nora Fischer</v>
      </c>
      <c r="E33" s="48" t="str">
        <f ca="1"/>
        <v>To Do</v>
      </c>
      <c r="F33" s="48" t="str">
        <f ca="1"/>
        <v>Mobile App v2</v>
      </c>
      <c r="G33" s="49" t="str">
        <f ca="1"/>
        <v>App store screenshots</v>
      </c>
      <c r="H33" s="58"/>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row>
    <row r="34" spans="1:52" ht="19.95" customHeight="1" x14ac:dyDescent="0.35">
      <c r="A34" s="34"/>
      <c r="B34" s="130">
        <f ca="1"/>
        <v>46321</v>
      </c>
      <c r="C34" s="48" t="str">
        <f ca="1"/>
        <v>Normal</v>
      </c>
      <c r="D34" s="48" t="str">
        <f ca="1"/>
        <v>Aisha Bello</v>
      </c>
      <c r="E34" s="48" t="str">
        <f ca="1"/>
        <v>In Progress</v>
      </c>
      <c r="F34" s="48" t="str">
        <f ca="1"/>
        <v>Customer Onboarding</v>
      </c>
      <c r="G34" s="49" t="str">
        <f ca="1"/>
        <v>Welcome email series</v>
      </c>
      <c r="H34" s="58"/>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row>
    <row r="35" spans="1:52" ht="19.95" customHeight="1" x14ac:dyDescent="0.35">
      <c r="A35" s="34"/>
      <c r="B35" s="130">
        <f ca="1"/>
        <v>46322</v>
      </c>
      <c r="C35" s="48" t="str">
        <f ca="1"/>
        <v>Normal</v>
      </c>
      <c r="D35" s="48" t="str">
        <f ca="1"/>
        <v>Nora Fischer</v>
      </c>
      <c r="E35" s="48" t="str">
        <f ca="1"/>
        <v>To Do</v>
      </c>
      <c r="F35" s="48" t="str">
        <f ca="1"/>
        <v>Q4 Marketing Campaign</v>
      </c>
      <c r="G35" s="49" t="str">
        <f ca="1"/>
        <v>Paid ads creative</v>
      </c>
      <c r="H35" s="58"/>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row>
    <row r="36" spans="1:52" ht="19.95" customHeight="1" x14ac:dyDescent="0.35">
      <c r="A36" s="34"/>
      <c r="B36" s="130">
        <f ca="1"/>
        <v>46322</v>
      </c>
      <c r="C36" s="48" t="str">
        <f ca="1"/>
        <v>Normal</v>
      </c>
      <c r="D36" s="48" t="str">
        <f ca="1"/>
        <v>Aisha Bello</v>
      </c>
      <c r="E36" s="48" t="str">
        <f ca="1"/>
        <v>To Do</v>
      </c>
      <c r="F36" s="48" t="str">
        <f ca="1"/>
        <v>Mobile App v2</v>
      </c>
      <c r="G36" s="49" t="str">
        <f ca="1"/>
        <v>Release notes v2.0</v>
      </c>
      <c r="H36" s="58"/>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row>
    <row r="37" spans="1:52" ht="19.95" customHeight="1" x14ac:dyDescent="0.35">
      <c r="A37" s="34"/>
      <c r="B37" s="130">
        <f ca="1"/>
        <v>46324</v>
      </c>
      <c r="C37" s="48" t="str">
        <f ca="1"/>
        <v>Normal</v>
      </c>
      <c r="D37" s="48" t="str">
        <f ca="1"/>
        <v>Aisha Bello</v>
      </c>
      <c r="E37" s="48" t="str">
        <f ca="1"/>
        <v>To Do</v>
      </c>
      <c r="F37" s="48" t="str">
        <f ca="1"/>
        <v>Q4 Marketing Campaign</v>
      </c>
      <c r="G37" s="49" t="str">
        <f ca="1"/>
        <v>Press release draft</v>
      </c>
      <c r="H37" s="58"/>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row>
    <row r="38" spans="1:52" ht="19.95" customHeight="1" x14ac:dyDescent="0.35">
      <c r="A38" s="34"/>
      <c r="B38" s="130">
        <f ca="1"/>
        <v>46326</v>
      </c>
      <c r="C38" s="48" t="str">
        <f ca="1"/>
        <v>Normal</v>
      </c>
      <c r="D38" s="48" t="str">
        <f ca="1"/>
        <v>Nora Fischer</v>
      </c>
      <c r="E38" s="48" t="str">
        <f ca="1"/>
        <v>To Do</v>
      </c>
      <c r="F38" s="48" t="str">
        <f ca="1"/>
        <v>Website Redesign</v>
      </c>
      <c r="G38" s="49" t="str">
        <f ca="1"/>
        <v>Accessibility audit</v>
      </c>
      <c r="H38" s="58"/>
      <c r="I38" s="34"/>
      <c r="J38" s="34"/>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row>
    <row r="39" spans="1:52" ht="19.95" customHeight="1" x14ac:dyDescent="0.35">
      <c r="A39" s="34"/>
      <c r="B39" s="130">
        <f ca="1"/>
        <v>46326</v>
      </c>
      <c r="C39" s="48" t="str">
        <f ca="1"/>
        <v>High</v>
      </c>
      <c r="D39" s="48" t="str">
        <f ca="1"/>
        <v>Ravi Kumar</v>
      </c>
      <c r="E39" s="48" t="str">
        <f ca="1"/>
        <v>To Do</v>
      </c>
      <c r="F39" s="48" t="str">
        <f ca="1"/>
        <v>Annual Report 2026</v>
      </c>
      <c r="G39" s="49" t="str">
        <f ca="1"/>
        <v>Collect department KPIs</v>
      </c>
      <c r="H39" s="58"/>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row>
    <row r="40" spans="1:52" ht="19.95" customHeight="1" x14ac:dyDescent="0.35">
      <c r="A40" s="34"/>
      <c r="B40" s="130"/>
      <c r="C40" s="48"/>
      <c r="D40" s="48"/>
      <c r="E40" s="48"/>
      <c r="F40" s="48"/>
      <c r="G40" s="49"/>
      <c r="H40" s="58"/>
      <c r="I40" s="34"/>
      <c r="J40" s="34"/>
      <c r="K40" s="34"/>
      <c r="L40" s="34"/>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row>
    <row r="41" spans="1:52" ht="19.95" customHeight="1" x14ac:dyDescent="0.35">
      <c r="A41" s="34"/>
      <c r="B41" s="130"/>
      <c r="C41" s="48"/>
      <c r="D41" s="48"/>
      <c r="E41" s="48"/>
      <c r="F41" s="48"/>
      <c r="G41" s="49"/>
      <c r="H41" s="58"/>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row>
    <row r="42" spans="1:52" ht="19.95" customHeight="1" x14ac:dyDescent="0.35">
      <c r="A42" s="34"/>
      <c r="B42" s="130"/>
      <c r="C42" s="48"/>
      <c r="D42" s="48"/>
      <c r="E42" s="48"/>
      <c r="F42" s="48"/>
      <c r="G42" s="49"/>
      <c r="H42" s="58"/>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row>
    <row r="43" spans="1:52" ht="19.95" customHeight="1" x14ac:dyDescent="0.35">
      <c r="A43" s="34"/>
      <c r="B43" s="130"/>
      <c r="C43" s="48"/>
      <c r="D43" s="48"/>
      <c r="E43" s="48"/>
      <c r="F43" s="48"/>
      <c r="G43" s="49"/>
      <c r="H43" s="58"/>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row>
    <row r="44" spans="1:52" ht="19.95" customHeight="1" x14ac:dyDescent="0.35">
      <c r="A44" s="34"/>
      <c r="B44" s="130"/>
      <c r="C44" s="48"/>
      <c r="D44" s="48"/>
      <c r="E44" s="48"/>
      <c r="F44" s="48"/>
      <c r="G44" s="49"/>
      <c r="H44" s="58"/>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row>
    <row r="45" spans="1:52" ht="19.95" customHeight="1" x14ac:dyDescent="0.35">
      <c r="A45" s="34"/>
      <c r="B45" s="130"/>
      <c r="C45" s="48"/>
      <c r="D45" s="48"/>
      <c r="E45" s="48"/>
      <c r="F45" s="48"/>
      <c r="G45" s="49"/>
      <c r="H45" s="58"/>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row>
    <row r="46" spans="1:52" ht="19.95" customHeight="1" x14ac:dyDescent="0.35">
      <c r="A46" s="34"/>
      <c r="B46" s="130"/>
      <c r="C46" s="48"/>
      <c r="D46" s="48"/>
      <c r="E46" s="48"/>
      <c r="F46" s="48"/>
      <c r="G46" s="49"/>
      <c r="H46" s="58"/>
      <c r="I46" s="34"/>
      <c r="J46" s="34"/>
      <c r="K46" s="34"/>
      <c r="L46" s="3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row>
    <row r="47" spans="1:52" ht="19.95" customHeight="1" x14ac:dyDescent="0.35">
      <c r="A47" s="34"/>
      <c r="B47" s="131"/>
      <c r="C47" s="55"/>
      <c r="D47" s="55"/>
      <c r="E47" s="55"/>
      <c r="F47" s="55"/>
      <c r="G47" s="56"/>
      <c r="H47" s="59"/>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row>
    <row r="48" spans="1:52" x14ac:dyDescent="0.35">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row>
    <row r="49" spans="1:52" x14ac:dyDescent="0.35">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row>
    <row r="50" spans="1:52" x14ac:dyDescent="0.35">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row>
    <row r="51" spans="1:52" x14ac:dyDescent="0.35">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row>
    <row r="52" spans="1:52" x14ac:dyDescent="0.35">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row>
    <row r="53" spans="1:52" x14ac:dyDescent="0.35">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row>
    <row r="54" spans="1:52" x14ac:dyDescent="0.35">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row>
    <row r="55" spans="1:52" x14ac:dyDescent="0.3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row>
    <row r="56" spans="1:52" x14ac:dyDescent="0.35">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row>
    <row r="57" spans="1:52" x14ac:dyDescent="0.35">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row>
    <row r="58" spans="1:52" x14ac:dyDescent="0.35">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row>
    <row r="59" spans="1:52" x14ac:dyDescent="0.35">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row>
    <row r="60" spans="1:52" x14ac:dyDescent="0.35">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row>
    <row r="61" spans="1:52" x14ac:dyDescent="0.35">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row>
    <row r="62" spans="1:52" x14ac:dyDescent="0.35">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row>
    <row r="63" spans="1:52" x14ac:dyDescent="0.35">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row>
    <row r="64" spans="1:52" x14ac:dyDescent="0.35">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row>
    <row r="65" spans="1:52" x14ac:dyDescent="0.3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row>
    <row r="66" spans="1:52" x14ac:dyDescent="0.35">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row>
    <row r="67" spans="1:52" x14ac:dyDescent="0.35">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row>
    <row r="68" spans="1:52" x14ac:dyDescent="0.35">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row>
    <row r="69" spans="1:52" x14ac:dyDescent="0.35">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row>
    <row r="70" spans="1:52" x14ac:dyDescent="0.35">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row>
    <row r="71" spans="1:52" x14ac:dyDescent="0.35">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row>
    <row r="72" spans="1:52" x14ac:dyDescent="0.35">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row>
    <row r="73" spans="1:52" x14ac:dyDescent="0.35">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row>
    <row r="74" spans="1:52" x14ac:dyDescent="0.35">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row>
    <row r="75" spans="1:52" x14ac:dyDescent="0.3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row>
    <row r="76" spans="1:52" x14ac:dyDescent="0.35">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row>
    <row r="77" spans="1:52" x14ac:dyDescent="0.35">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row>
    <row r="78" spans="1:52" x14ac:dyDescent="0.35">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row>
    <row r="79" spans="1:52" x14ac:dyDescent="0.35">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row>
    <row r="80" spans="1:52" x14ac:dyDescent="0.35">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row>
    <row r="81" spans="1:52" x14ac:dyDescent="0.35">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row>
    <row r="82" spans="1:52" x14ac:dyDescent="0.35">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row>
    <row r="83" spans="1:52" x14ac:dyDescent="0.35">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row>
    <row r="84" spans="1:52" x14ac:dyDescent="0.35">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row>
    <row r="85" spans="1:52" x14ac:dyDescent="0.3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row>
    <row r="86" spans="1:52" x14ac:dyDescent="0.35">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row>
    <row r="87" spans="1:52" x14ac:dyDescent="0.35">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row>
    <row r="88" spans="1:52" x14ac:dyDescent="0.35">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row>
    <row r="89" spans="1:52" x14ac:dyDescent="0.35">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row>
    <row r="90" spans="1:52" x14ac:dyDescent="0.35">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row>
    <row r="91" spans="1:52" x14ac:dyDescent="0.35">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row>
    <row r="92" spans="1:52" x14ac:dyDescent="0.35">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row>
    <row r="93" spans="1:52" x14ac:dyDescent="0.35">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row>
    <row r="94" spans="1:52" x14ac:dyDescent="0.35">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row>
    <row r="95" spans="1:52" x14ac:dyDescent="0.3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row>
    <row r="96" spans="1:52" x14ac:dyDescent="0.35">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row>
    <row r="97" spans="1:52" x14ac:dyDescent="0.35">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row>
    <row r="98" spans="1:52" x14ac:dyDescent="0.35">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row>
    <row r="99" spans="1:52" x14ac:dyDescent="0.35">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row>
    <row r="100" spans="1:52" x14ac:dyDescent="0.35">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row>
    <row r="101" spans="1:52" x14ac:dyDescent="0.35">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row>
    <row r="102" spans="1:52" x14ac:dyDescent="0.35">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row>
    <row r="103" spans="1:52" x14ac:dyDescent="0.35">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row>
    <row r="104" spans="1:52" x14ac:dyDescent="0.35">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row>
    <row r="105" spans="1:52" x14ac:dyDescent="0.3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row>
    <row r="106" spans="1:52" x14ac:dyDescent="0.35">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row>
    <row r="107" spans="1:52" x14ac:dyDescent="0.35">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row>
    <row r="108" spans="1:52" x14ac:dyDescent="0.35">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row>
    <row r="109" spans="1:52" x14ac:dyDescent="0.35">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row>
    <row r="110" spans="1:52" x14ac:dyDescent="0.35">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row>
    <row r="111" spans="1:52" x14ac:dyDescent="0.35">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row>
    <row r="112" spans="1:52" x14ac:dyDescent="0.35">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row>
    <row r="113" spans="1:52" x14ac:dyDescent="0.35">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row>
    <row r="114" spans="1:52" x14ac:dyDescent="0.35">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row>
    <row r="115" spans="1:52" x14ac:dyDescent="0.3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row>
    <row r="116" spans="1:52" x14ac:dyDescent="0.35">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row>
    <row r="117" spans="1:52" x14ac:dyDescent="0.35">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row>
    <row r="118" spans="1:52" x14ac:dyDescent="0.35">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row>
    <row r="119" spans="1:52" x14ac:dyDescent="0.35">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row>
    <row r="120" spans="1:52" x14ac:dyDescent="0.35">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row>
    <row r="121" spans="1:52" x14ac:dyDescent="0.35">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row>
    <row r="122" spans="1:52" x14ac:dyDescent="0.35">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row>
    <row r="123" spans="1:52" x14ac:dyDescent="0.35">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row>
    <row r="124" spans="1:52" x14ac:dyDescent="0.35">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row>
    <row r="125" spans="1:52" x14ac:dyDescent="0.3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row>
    <row r="126" spans="1:52" x14ac:dyDescent="0.35">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row>
    <row r="127" spans="1:52" x14ac:dyDescent="0.35">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row>
    <row r="128" spans="1:52" x14ac:dyDescent="0.35">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row>
    <row r="129" spans="1:52" x14ac:dyDescent="0.35">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row>
    <row r="130" spans="1:52" x14ac:dyDescent="0.35">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row>
    <row r="131" spans="1:52" x14ac:dyDescent="0.35">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row>
    <row r="132" spans="1:52" x14ac:dyDescent="0.35">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row>
    <row r="133" spans="1:52" x14ac:dyDescent="0.35">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row>
    <row r="134" spans="1:52" x14ac:dyDescent="0.35">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row>
    <row r="135" spans="1:52" x14ac:dyDescent="0.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row>
    <row r="136" spans="1:52" x14ac:dyDescent="0.35">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row>
    <row r="137" spans="1:52" x14ac:dyDescent="0.35">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row>
    <row r="138" spans="1:52" x14ac:dyDescent="0.35">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row>
    <row r="139" spans="1:52" x14ac:dyDescent="0.35">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row>
    <row r="140" spans="1:52" x14ac:dyDescent="0.35">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row>
    <row r="141" spans="1:52" x14ac:dyDescent="0.35">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row>
    <row r="142" spans="1:52" x14ac:dyDescent="0.35">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row>
    <row r="143" spans="1:52" x14ac:dyDescent="0.35">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row>
    <row r="144" spans="1:52" x14ac:dyDescent="0.35">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row>
    <row r="145" spans="1:52" x14ac:dyDescent="0.3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row>
    <row r="146" spans="1:52" x14ac:dyDescent="0.35">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row>
    <row r="147" spans="1:52" x14ac:dyDescent="0.35">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row>
    <row r="148" spans="1:52" x14ac:dyDescent="0.35">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row>
    <row r="149" spans="1:52" x14ac:dyDescent="0.35">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row>
    <row r="150" spans="1:52" x14ac:dyDescent="0.35">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row>
    <row r="151" spans="1:52" x14ac:dyDescent="0.35">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row>
    <row r="152" spans="1:52" x14ac:dyDescent="0.35">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row>
    <row r="153" spans="1:52" x14ac:dyDescent="0.35">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row>
    <row r="154" spans="1:52" x14ac:dyDescent="0.35">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row>
    <row r="155" spans="1:52" x14ac:dyDescent="0.3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row>
    <row r="156" spans="1:52" x14ac:dyDescent="0.35">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row>
    <row r="157" spans="1:52" x14ac:dyDescent="0.35">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row>
    <row r="158" spans="1:52" x14ac:dyDescent="0.35">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row>
    <row r="159" spans="1:52" x14ac:dyDescent="0.35">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row>
    <row r="160" spans="1:52" x14ac:dyDescent="0.35">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row>
    <row r="161" spans="1:52" x14ac:dyDescent="0.35">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row>
    <row r="162" spans="1:52" x14ac:dyDescent="0.35">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row>
    <row r="163" spans="1:52" x14ac:dyDescent="0.35">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row>
    <row r="164" spans="1:52" x14ac:dyDescent="0.35">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row>
    <row r="165" spans="1:52" x14ac:dyDescent="0.3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row>
    <row r="166" spans="1:52" x14ac:dyDescent="0.35">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row>
    <row r="167" spans="1:52" x14ac:dyDescent="0.35">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row>
    <row r="168" spans="1:52" x14ac:dyDescent="0.35">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row>
    <row r="169" spans="1:52" x14ac:dyDescent="0.35">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row>
    <row r="170" spans="1:52" x14ac:dyDescent="0.35">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row>
    <row r="171" spans="1:52" x14ac:dyDescent="0.35">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row>
    <row r="172" spans="1:52" x14ac:dyDescent="0.35">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row>
    <row r="173" spans="1:52" x14ac:dyDescent="0.35">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row>
    <row r="174" spans="1:52" x14ac:dyDescent="0.35">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row>
    <row r="175" spans="1:52" x14ac:dyDescent="0.3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row>
    <row r="176" spans="1:52" x14ac:dyDescent="0.35">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row>
    <row r="177" spans="1:52" x14ac:dyDescent="0.35">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row>
    <row r="178" spans="1:52" x14ac:dyDescent="0.35">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row>
    <row r="179" spans="1:52" x14ac:dyDescent="0.35">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row>
    <row r="180" spans="1:52" x14ac:dyDescent="0.35">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row>
    <row r="181" spans="1:52" x14ac:dyDescent="0.35">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row>
    <row r="182" spans="1:52" x14ac:dyDescent="0.35">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row>
    <row r="183" spans="1:52" x14ac:dyDescent="0.35">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row>
    <row r="184" spans="1:52" x14ac:dyDescent="0.35">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row>
    <row r="185" spans="1:52" x14ac:dyDescent="0.3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row>
    <row r="186" spans="1:52" x14ac:dyDescent="0.35">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row>
    <row r="187" spans="1:52" x14ac:dyDescent="0.35">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row>
    <row r="188" spans="1:52" x14ac:dyDescent="0.35">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row>
    <row r="189" spans="1:52" x14ac:dyDescent="0.35">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row>
    <row r="190" spans="1:52" x14ac:dyDescent="0.35">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row>
    <row r="191" spans="1:52" x14ac:dyDescent="0.35">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row>
    <row r="192" spans="1:52" x14ac:dyDescent="0.35">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row>
    <row r="193" spans="1:52" x14ac:dyDescent="0.35">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row>
    <row r="194" spans="1:52" x14ac:dyDescent="0.35">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row>
    <row r="195" spans="1:52" x14ac:dyDescent="0.3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row>
    <row r="196" spans="1:52" x14ac:dyDescent="0.35">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row>
    <row r="197" spans="1:52" x14ac:dyDescent="0.35">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row>
    <row r="198" spans="1:52" x14ac:dyDescent="0.35">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row>
    <row r="199" spans="1:52" x14ac:dyDescent="0.35">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row>
    <row r="200" spans="1:52" x14ac:dyDescent="0.35">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row>
    <row r="201" spans="1:52" x14ac:dyDescent="0.35">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row>
    <row r="202" spans="1:52" x14ac:dyDescent="0.35">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row>
    <row r="203" spans="1:52" x14ac:dyDescent="0.35">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row>
    <row r="204" spans="1:52" x14ac:dyDescent="0.35">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row>
    <row r="205" spans="1:52" x14ac:dyDescent="0.3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row>
    <row r="206" spans="1:52" x14ac:dyDescent="0.35">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row>
    <row r="207" spans="1:52" x14ac:dyDescent="0.35">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c r="AU207" s="34"/>
      <c r="AV207" s="34"/>
      <c r="AW207" s="34"/>
      <c r="AX207" s="34"/>
      <c r="AY207" s="34"/>
      <c r="AZ207" s="34"/>
    </row>
    <row r="208" spans="1:52" x14ac:dyDescent="0.35">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row>
    <row r="209" spans="1:52" x14ac:dyDescent="0.35">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row>
    <row r="210" spans="1:52" x14ac:dyDescent="0.35">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row>
    <row r="211" spans="1:52" x14ac:dyDescent="0.35">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row>
    <row r="212" spans="1:52" x14ac:dyDescent="0.35">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row>
    <row r="213" spans="1:52" x14ac:dyDescent="0.35">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row>
    <row r="214" spans="1:52" x14ac:dyDescent="0.35">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c r="AU214" s="34"/>
      <c r="AV214" s="34"/>
      <c r="AW214" s="34"/>
      <c r="AX214" s="34"/>
      <c r="AY214" s="34"/>
      <c r="AZ214" s="34"/>
    </row>
    <row r="215" spans="1:52" x14ac:dyDescent="0.3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c r="AU215" s="34"/>
      <c r="AV215" s="34"/>
      <c r="AW215" s="34"/>
      <c r="AX215" s="34"/>
      <c r="AY215" s="34"/>
      <c r="AZ215" s="34"/>
    </row>
    <row r="216" spans="1:52" x14ac:dyDescent="0.35">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c r="AU216" s="34"/>
      <c r="AV216" s="34"/>
      <c r="AW216" s="34"/>
      <c r="AX216" s="34"/>
      <c r="AY216" s="34"/>
      <c r="AZ216" s="34"/>
    </row>
    <row r="217" spans="1:52" x14ac:dyDescent="0.35">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row>
    <row r="218" spans="1:52" x14ac:dyDescent="0.35">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row>
    <row r="219" spans="1:52" x14ac:dyDescent="0.35">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row>
    <row r="220" spans="1:52" x14ac:dyDescent="0.35">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row>
    <row r="221" spans="1:52" x14ac:dyDescent="0.35">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row>
    <row r="222" spans="1:52" x14ac:dyDescent="0.35">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row>
    <row r="223" spans="1:52" x14ac:dyDescent="0.35">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row>
    <row r="224" spans="1:52" x14ac:dyDescent="0.35">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34"/>
      <c r="AU224" s="34"/>
      <c r="AV224" s="34"/>
      <c r="AW224" s="34"/>
      <c r="AX224" s="34"/>
      <c r="AY224" s="34"/>
      <c r="AZ224" s="34"/>
    </row>
    <row r="225" spans="1:52" x14ac:dyDescent="0.3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row>
    <row r="226" spans="1:52" x14ac:dyDescent="0.35">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row>
    <row r="227" spans="1:52" x14ac:dyDescent="0.35">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row>
    <row r="228" spans="1:52" x14ac:dyDescent="0.35">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row>
    <row r="229" spans="1:52" x14ac:dyDescent="0.35">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34"/>
      <c r="AU229" s="34"/>
      <c r="AV229" s="34"/>
      <c r="AW229" s="34"/>
      <c r="AX229" s="34"/>
      <c r="AY229" s="34"/>
      <c r="AZ229" s="34"/>
    </row>
    <row r="230" spans="1:52" x14ac:dyDescent="0.35">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34"/>
      <c r="AU230" s="34"/>
      <c r="AV230" s="34"/>
      <c r="AW230" s="34"/>
      <c r="AX230" s="34"/>
      <c r="AY230" s="34"/>
      <c r="AZ230" s="34"/>
    </row>
    <row r="231" spans="1:52" x14ac:dyDescent="0.35">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row>
    <row r="232" spans="1:52" x14ac:dyDescent="0.35">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row>
    <row r="233" spans="1:52" x14ac:dyDescent="0.35">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c r="AU233" s="34"/>
      <c r="AV233" s="34"/>
      <c r="AW233" s="34"/>
      <c r="AX233" s="34"/>
      <c r="AY233" s="34"/>
      <c r="AZ233" s="34"/>
    </row>
    <row r="234" spans="1:52" x14ac:dyDescent="0.35">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4"/>
      <c r="AW234" s="34"/>
      <c r="AX234" s="34"/>
      <c r="AY234" s="34"/>
      <c r="AZ234" s="34"/>
    </row>
    <row r="235" spans="1:52" x14ac:dyDescent="0.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34"/>
      <c r="AU235" s="34"/>
      <c r="AV235" s="34"/>
      <c r="AW235" s="34"/>
      <c r="AX235" s="34"/>
      <c r="AY235" s="34"/>
      <c r="AZ235" s="34"/>
    </row>
    <row r="236" spans="1:52" x14ac:dyDescent="0.35">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c r="AU236" s="34"/>
      <c r="AV236" s="34"/>
      <c r="AW236" s="34"/>
      <c r="AX236" s="34"/>
      <c r="AY236" s="34"/>
      <c r="AZ236" s="34"/>
    </row>
    <row r="237" spans="1:52" x14ac:dyDescent="0.35">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c r="AS237" s="34"/>
      <c r="AT237" s="34"/>
      <c r="AU237" s="34"/>
      <c r="AV237" s="34"/>
      <c r="AW237" s="34"/>
      <c r="AX237" s="34"/>
      <c r="AY237" s="34"/>
      <c r="AZ237" s="34"/>
    </row>
    <row r="238" spans="1:52" x14ac:dyDescent="0.35">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row>
    <row r="239" spans="1:52" x14ac:dyDescent="0.35">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c r="AU239" s="34"/>
      <c r="AV239" s="34"/>
      <c r="AW239" s="34"/>
      <c r="AX239" s="34"/>
      <c r="AY239" s="34"/>
      <c r="AZ239" s="34"/>
    </row>
    <row r="240" spans="1:52" x14ac:dyDescent="0.3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row>
    <row r="241" spans="1:52" x14ac:dyDescent="0.3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row>
    <row r="242" spans="1:52" x14ac:dyDescent="0.3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row>
    <row r="243" spans="1:52" x14ac:dyDescent="0.3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row>
    <row r="244" spans="1:52" x14ac:dyDescent="0.3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row>
    <row r="245" spans="1:52" x14ac:dyDescent="0.3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c r="AW245" s="34"/>
      <c r="AX245" s="34"/>
      <c r="AY245" s="34"/>
      <c r="AZ245" s="34"/>
    </row>
    <row r="246" spans="1:52" x14ac:dyDescent="0.3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c r="AU246" s="34"/>
      <c r="AV246" s="34"/>
      <c r="AW246" s="34"/>
      <c r="AX246" s="34"/>
      <c r="AY246" s="34"/>
      <c r="AZ246" s="34"/>
    </row>
    <row r="247" spans="1:52" x14ac:dyDescent="0.3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34"/>
      <c r="AU247" s="34"/>
      <c r="AV247" s="34"/>
      <c r="AW247" s="34"/>
      <c r="AX247" s="34"/>
      <c r="AY247" s="34"/>
      <c r="AZ247" s="34"/>
    </row>
    <row r="248" spans="1:52" x14ac:dyDescent="0.3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34"/>
      <c r="AU248" s="34"/>
      <c r="AV248" s="34"/>
      <c r="AW248" s="34"/>
      <c r="AX248" s="34"/>
      <c r="AY248" s="34"/>
      <c r="AZ248" s="34"/>
    </row>
    <row r="249" spans="1:52" x14ac:dyDescent="0.3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row>
    <row r="250" spans="1:52" x14ac:dyDescent="0.35">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row>
    <row r="251" spans="1:52" x14ac:dyDescent="0.35">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row>
    <row r="252" spans="1:52" x14ac:dyDescent="0.35">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row>
    <row r="253" spans="1:52" x14ac:dyDescent="0.35">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row>
    <row r="254" spans="1:52" x14ac:dyDescent="0.35">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34"/>
      <c r="AU254" s="34"/>
      <c r="AV254" s="34"/>
      <c r="AW254" s="34"/>
      <c r="AX254" s="34"/>
      <c r="AY254" s="34"/>
      <c r="AZ254" s="34"/>
    </row>
    <row r="255" spans="1:52" x14ac:dyDescent="0.3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row>
    <row r="256" spans="1:52" x14ac:dyDescent="0.35">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row>
    <row r="257" spans="1:52" x14ac:dyDescent="0.35">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row>
    <row r="258" spans="1:52" x14ac:dyDescent="0.35">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34"/>
      <c r="AW258" s="34"/>
      <c r="AX258" s="34"/>
      <c r="AY258" s="34"/>
      <c r="AZ258" s="34"/>
    </row>
    <row r="259" spans="1:52" x14ac:dyDescent="0.35">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34"/>
      <c r="AW259" s="34"/>
      <c r="AX259" s="34"/>
      <c r="AY259" s="34"/>
      <c r="AZ259" s="34"/>
    </row>
    <row r="260" spans="1:52" x14ac:dyDescent="0.35">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34"/>
      <c r="AW260" s="34"/>
      <c r="AX260" s="34"/>
      <c r="AY260" s="34"/>
      <c r="AZ260" s="34"/>
    </row>
    <row r="261" spans="1:52" x14ac:dyDescent="0.35">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row>
    <row r="262" spans="1:52" x14ac:dyDescent="0.35">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row>
    <row r="263" spans="1:52" x14ac:dyDescent="0.35">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34"/>
      <c r="AW263" s="34"/>
      <c r="AX263" s="34"/>
      <c r="AY263" s="34"/>
      <c r="AZ263" s="34"/>
    </row>
    <row r="264" spans="1:52" x14ac:dyDescent="0.35">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row>
    <row r="265" spans="1:52" x14ac:dyDescent="0.3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row>
    <row r="266" spans="1:52" x14ac:dyDescent="0.35">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row>
    <row r="267" spans="1:52" x14ac:dyDescent="0.35">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row>
    <row r="268" spans="1:52" x14ac:dyDescent="0.35">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row>
    <row r="269" spans="1:52" x14ac:dyDescent="0.35">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row>
    <row r="270" spans="1:52" x14ac:dyDescent="0.35">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row>
    <row r="271" spans="1:52" x14ac:dyDescent="0.35">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row>
    <row r="272" spans="1:52" x14ac:dyDescent="0.35">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row>
    <row r="273" spans="1:52" x14ac:dyDescent="0.35">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4"/>
      <c r="AW273" s="34"/>
      <c r="AX273" s="34"/>
      <c r="AY273" s="34"/>
      <c r="AZ273" s="34"/>
    </row>
    <row r="274" spans="1:52" x14ac:dyDescent="0.35">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34"/>
      <c r="AW274" s="34"/>
      <c r="AX274" s="34"/>
      <c r="AY274" s="34"/>
      <c r="AZ274" s="34"/>
    </row>
    <row r="275" spans="1:52" x14ac:dyDescent="0.3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row>
    <row r="276" spans="1:52" x14ac:dyDescent="0.35">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row>
    <row r="277" spans="1:52" x14ac:dyDescent="0.35">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34"/>
      <c r="AW277" s="34"/>
      <c r="AX277" s="34"/>
      <c r="AY277" s="34"/>
      <c r="AZ277" s="34"/>
    </row>
    <row r="278" spans="1:52" x14ac:dyDescent="0.35">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c r="AU278" s="34"/>
      <c r="AV278" s="34"/>
      <c r="AW278" s="34"/>
      <c r="AX278" s="34"/>
      <c r="AY278" s="34"/>
      <c r="AZ278" s="34"/>
    </row>
    <row r="279" spans="1:52" x14ac:dyDescent="0.35">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row>
    <row r="280" spans="1:52" x14ac:dyDescent="0.35">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c r="AU280" s="34"/>
      <c r="AV280" s="34"/>
      <c r="AW280" s="34"/>
      <c r="AX280" s="34"/>
      <c r="AY280" s="34"/>
      <c r="AZ280" s="34"/>
    </row>
    <row r="281" spans="1:52" x14ac:dyDescent="0.35">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34"/>
      <c r="AW281" s="34"/>
      <c r="AX281" s="34"/>
      <c r="AY281" s="34"/>
      <c r="AZ281" s="34"/>
    </row>
    <row r="282" spans="1:52" x14ac:dyDescent="0.35">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34"/>
      <c r="AW282" s="34"/>
      <c r="AX282" s="34"/>
      <c r="AY282" s="34"/>
      <c r="AZ282" s="34"/>
    </row>
    <row r="283" spans="1:52" x14ac:dyDescent="0.35">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row>
    <row r="284" spans="1:52" x14ac:dyDescent="0.35">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34"/>
      <c r="AW284" s="34"/>
      <c r="AX284" s="34"/>
      <c r="AY284" s="34"/>
      <c r="AZ284" s="34"/>
    </row>
    <row r="285" spans="1:52" x14ac:dyDescent="0.3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row>
    <row r="286" spans="1:52" x14ac:dyDescent="0.35">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row>
    <row r="287" spans="1:52" x14ac:dyDescent="0.35">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row>
    <row r="288" spans="1:52" x14ac:dyDescent="0.35">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34"/>
      <c r="AW288" s="34"/>
      <c r="AX288" s="34"/>
      <c r="AY288" s="34"/>
      <c r="AZ288" s="34"/>
    </row>
    <row r="289" spans="1:52" x14ac:dyDescent="0.35">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34"/>
      <c r="AW289" s="34"/>
      <c r="AX289" s="34"/>
      <c r="AY289" s="34"/>
      <c r="AZ289" s="34"/>
    </row>
    <row r="290" spans="1:52" x14ac:dyDescent="0.35">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row>
    <row r="291" spans="1:52" x14ac:dyDescent="0.35">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row>
    <row r="292" spans="1:52" x14ac:dyDescent="0.35">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row>
    <row r="293" spans="1:52" x14ac:dyDescent="0.35">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AW293" s="34"/>
      <c r="AX293" s="34"/>
      <c r="AY293" s="34"/>
      <c r="AZ293" s="34"/>
    </row>
    <row r="294" spans="1:52" x14ac:dyDescent="0.35">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row>
    <row r="295" spans="1:52" x14ac:dyDescent="0.3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34"/>
      <c r="AW295" s="34"/>
      <c r="AX295" s="34"/>
      <c r="AY295" s="34"/>
      <c r="AZ295" s="34"/>
    </row>
    <row r="296" spans="1:52" x14ac:dyDescent="0.35">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34"/>
      <c r="AW296" s="34"/>
      <c r="AX296" s="34"/>
      <c r="AY296" s="34"/>
      <c r="AZ296" s="34"/>
    </row>
    <row r="297" spans="1:52" x14ac:dyDescent="0.35">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AW297" s="34"/>
      <c r="AX297" s="34"/>
      <c r="AY297" s="34"/>
      <c r="AZ297" s="34"/>
    </row>
    <row r="298" spans="1:52" x14ac:dyDescent="0.35">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AW298" s="34"/>
      <c r="AX298" s="34"/>
      <c r="AY298" s="34"/>
      <c r="AZ298" s="34"/>
    </row>
    <row r="299" spans="1:52" x14ac:dyDescent="0.35">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AW299" s="34"/>
      <c r="AX299" s="34"/>
      <c r="AY299" s="34"/>
      <c r="AZ299" s="34"/>
    </row>
    <row r="300" spans="1:52" x14ac:dyDescent="0.35">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34"/>
      <c r="AW300" s="34"/>
      <c r="AX300" s="34"/>
      <c r="AY300" s="34"/>
      <c r="AZ300" s="34"/>
    </row>
  </sheetData>
  <mergeCells count="1">
    <mergeCell ref="F5:H5"/>
  </mergeCells>
  <conditionalFormatting sqref="B8:H13">
    <cfRule type="expression" dxfId="23" priority="1">
      <formula>CalStart+(ROW()-ROW($B$8))*7+COLUMN()-COLUMN($B$8)=TODAY()</formula>
    </cfRule>
    <cfRule type="expression" dxfId="22" priority="2">
      <formula>ISNUMBER(SEARCH("⚠",B8))</formula>
    </cfRule>
    <cfRule type="expression" dxfId="21" priority="3">
      <formula>MONTH(CalStart+(ROW()-ROW($B$8))*7+COLUMN()-COLUMN($B$8))&lt;&gt;calMonthNum</formula>
    </cfRule>
    <cfRule type="expression" dxfId="20" priority="4">
      <formula>COLUMN()&gt;=COLUMN($G$8)</formula>
    </cfRule>
  </conditionalFormatting>
  <conditionalFormatting sqref="C18:C47">
    <cfRule type="expression" dxfId="19" priority="5">
      <formula>C18="Urgent"</formula>
    </cfRule>
    <cfRule type="expression" dxfId="18" priority="6">
      <formula>C18="High"</formula>
    </cfRule>
    <cfRule type="expression" dxfId="17" priority="7">
      <formula>C18="Normal"</formula>
    </cfRule>
    <cfRule type="expression" dxfId="16" priority="8">
      <formula>C18="Low"</formula>
    </cfRule>
  </conditionalFormatting>
  <dataValidations count="1">
    <dataValidation type="list" allowBlank="1" showInputMessage="1" showErrorMessage="1" promptTitle="Month" prompt="Pick a month" sqref="C5" xr:uid="{DF716CB1-78D6-46DD-8865-152FFEB8AC12}">
      <formula1>lstMonths</formula1>
    </dataValidation>
  </dataValidations>
  <hyperlinks>
    <hyperlink ref="H2" location="'Home'!A1" display="⌂  Home" xr:uid="{A0751672-2B22-4F03-83F4-5262411734CA}"/>
  </hyperlinks>
  <pageMargins left="0.7" right="0.7" top="0.75" bottom="0.75" header="0.3" footer="0.3"/>
  <pageSetup scale="74"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D794C-77B7-4D81-8DD8-C7011B5CF2F3}">
  <sheetPr>
    <tabColor rgb="FFF19A1A"/>
    <pageSetUpPr fitToPage="1"/>
  </sheetPr>
  <dimension ref="A1:AZ300"/>
  <sheetViews>
    <sheetView showGridLines="0" showRowColHeaders="0" zoomScale="85" zoomScaleNormal="85" workbookViewId="0">
      <selection activeCell="B9" sqref="B9"/>
    </sheetView>
  </sheetViews>
  <sheetFormatPr defaultRowHeight="15" x14ac:dyDescent="0.35"/>
  <cols>
    <col min="1" max="1" width="2.77734375" customWidth="1"/>
    <col min="2" max="2" width="24.77734375" customWidth="1"/>
    <col min="3" max="3" width="10.77734375" customWidth="1"/>
    <col min="4" max="4" width="13.77734375" customWidth="1"/>
    <col min="5" max="6" width="10.77734375" customWidth="1"/>
    <col min="7" max="8" width="12.77734375" customWidth="1"/>
    <col min="9" max="9" width="10.77734375" customWidth="1"/>
    <col min="10" max="10" width="13.77734375" customWidth="1"/>
    <col min="11" max="11" width="8.77734375" customWidth="1"/>
    <col min="12" max="12" width="12.77734375" customWidth="1"/>
    <col min="13" max="13" width="3.77734375" customWidth="1"/>
    <col min="14" max="21" width="10.77734375" customWidth="1"/>
  </cols>
  <sheetData>
    <row r="1" spans="1:52" ht="7.95" customHeight="1" x14ac:dyDescent="0.35">
      <c r="A1" s="1"/>
      <c r="B1" s="1"/>
      <c r="C1" s="1"/>
      <c r="D1" s="1"/>
      <c r="E1" s="1"/>
      <c r="F1" s="1"/>
      <c r="G1" s="1"/>
      <c r="H1" s="1"/>
      <c r="I1" s="1"/>
      <c r="J1" s="1"/>
      <c r="K1" s="1"/>
      <c r="L1" s="1"/>
      <c r="M1" s="1"/>
      <c r="N1" s="1"/>
      <c r="O1" s="1"/>
      <c r="P1" s="1"/>
      <c r="Q1" s="1"/>
      <c r="R1" s="1"/>
      <c r="S1" s="1"/>
      <c r="T1" s="1"/>
      <c r="U1" s="1"/>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row>
    <row r="2" spans="1:52" ht="34.049999999999997" customHeight="1" x14ac:dyDescent="0.35">
      <c r="A2" s="1"/>
      <c r="B2" s="2" t="s">
        <v>294</v>
      </c>
      <c r="C2" s="1"/>
      <c r="D2" s="1"/>
      <c r="E2" s="1"/>
      <c r="F2" s="1"/>
      <c r="G2" s="1"/>
      <c r="H2" s="1"/>
      <c r="I2" s="1"/>
      <c r="J2" s="1"/>
      <c r="K2" s="1"/>
      <c r="L2" s="1"/>
      <c r="M2" s="1"/>
      <c r="N2" s="1"/>
      <c r="O2" s="1"/>
      <c r="P2" s="1"/>
      <c r="Q2" s="1"/>
      <c r="R2" s="1"/>
      <c r="S2" s="1"/>
      <c r="T2" s="1"/>
      <c r="U2" s="4" t="s">
        <v>2</v>
      </c>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row>
    <row r="3" spans="1:52" ht="19.95" customHeight="1" x14ac:dyDescent="0.35">
      <c r="A3" s="1"/>
      <c r="B3" s="3" t="s">
        <v>295</v>
      </c>
      <c r="C3" s="1"/>
      <c r="D3" s="1"/>
      <c r="E3" s="1"/>
      <c r="F3" s="1"/>
      <c r="G3" s="1"/>
      <c r="H3" s="1"/>
      <c r="I3" s="1"/>
      <c r="J3" s="1"/>
      <c r="K3" s="1"/>
      <c r="L3" s="1"/>
      <c r="M3" s="1"/>
      <c r="N3" s="1"/>
      <c r="O3" s="1"/>
      <c r="P3" s="1"/>
      <c r="Q3" s="1"/>
      <c r="R3" s="1"/>
      <c r="S3" s="1"/>
      <c r="T3" s="1"/>
      <c r="U3" s="1"/>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row>
    <row r="4" spans="1:52" ht="10.050000000000001" customHeight="1" x14ac:dyDescent="0.35">
      <c r="A4" s="34"/>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row>
    <row r="5" spans="1:52" x14ac:dyDescent="0.35">
      <c r="A5" s="34"/>
      <c r="B5" s="34"/>
      <c r="C5" s="34"/>
      <c r="D5" s="34"/>
      <c r="E5" s="34"/>
      <c r="F5" s="34"/>
      <c r="G5" s="34"/>
      <c r="H5" s="34"/>
      <c r="I5" s="34"/>
      <c r="J5" s="34"/>
      <c r="K5" s="34"/>
      <c r="L5" s="34"/>
      <c r="M5" s="34"/>
      <c r="N5" s="34"/>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row>
    <row r="6" spans="1:52" ht="25.95" customHeight="1" x14ac:dyDescent="0.45">
      <c r="A6" s="34"/>
      <c r="B6" s="46" t="s">
        <v>296</v>
      </c>
      <c r="C6" s="34"/>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row>
    <row r="7" spans="1:52" ht="22.05" customHeight="1" x14ac:dyDescent="0.35">
      <c r="A7" s="34"/>
      <c r="B7" s="132" t="s">
        <v>251</v>
      </c>
      <c r="C7" s="133" t="s">
        <v>297</v>
      </c>
      <c r="D7" s="133" t="s">
        <v>250</v>
      </c>
      <c r="E7" s="133" t="s">
        <v>232</v>
      </c>
      <c r="F7" s="133" t="s">
        <v>234</v>
      </c>
      <c r="G7" s="133" t="s">
        <v>298</v>
      </c>
      <c r="H7" s="133" t="s">
        <v>299</v>
      </c>
      <c r="I7" s="133" t="s">
        <v>300</v>
      </c>
      <c r="J7" s="133" t="s">
        <v>301</v>
      </c>
      <c r="K7" s="133" t="s">
        <v>302</v>
      </c>
      <c r="L7" s="134" t="s">
        <v>303</v>
      </c>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row>
    <row r="8" spans="1:52" ht="22.05" customHeight="1" x14ac:dyDescent="0.35">
      <c r="A8" s="34"/>
      <c r="B8" s="135" t="str" cm="1">
        <f t="array" ref="B8:B17">lstMembers</f>
        <v>Sara Ali</v>
      </c>
      <c r="C8" s="136" cm="1">
        <f t="array" ref="C8:C17">COUNTIFS(tblTasks[Owner],_xlfn.ANCHORARRAY(B8),tblTasks[Visible],1)</f>
        <v>4</v>
      </c>
      <c r="D8" s="136" cm="1">
        <f t="array" ref="D8:D17">COUNTIFS(tblTasks[Owner],_xlfn.ANCHORARRAY(B8),tblTasks[Visible],1,tblTasks[Status],DoneStatus)</f>
        <v>0</v>
      </c>
      <c r="E8" s="136" cm="1">
        <f t="array" ref="E8:E17">_xlfn.ANCHORARRAY(C8)-_xlfn.ANCHORARRAY(D8)</f>
        <v>4</v>
      </c>
      <c r="F8" s="136" cm="1">
        <f t="array" aca="1" ref="F8:F17" ca="1">COUNTIFS(tblTasks[Owner],_xlfn.ANCHORARRAY(B8),tblTasks[Visible],1,tblTasks[State],"Overdue")</f>
        <v>1</v>
      </c>
      <c r="G8" s="137" cm="1">
        <f t="array" ref="G8:G17">IF(_xlfn.ANCHORARRAY(C8)=0,"",_xlfn.ANCHORARRAY(D8)/_xlfn.ANCHORARRAY(C8))</f>
        <v>0</v>
      </c>
      <c r="H8" s="137" t="str" cm="1">
        <f t="array" ref="H8:H17">IFERROR(SUMIFS(tblTasks[On Time],tblTasks[Owner],_xlfn.ANCHORARRAY(B8),tblTasks[Visible],1)/COUNTIFS(tblTasks[Owner],_xlfn.ANCHORARRAY(B8),tblTasks[Visible],1,tblTasks[On Time],"&gt;=0"),"")</f>
        <v/>
      </c>
      <c r="I8" s="138" cm="1">
        <f t="array" aca="1" ref="I8:I17" ca="1">_xlfn.LET(_xlpm.a,_xlfn.ANCHORARRAY(C8),_xlpm.comp,IFERROR(_xlfn.ANCHORARRAY(D8)/_xlpm.a,0),_xlpm.ot,IFERROR(_xlfn.ANCHORARRAY(H8)*1,_xlpm.comp),_xlpm.od,IFERROR(1-_xlfn.ANCHORARRAY(F8)/_xlfn.ANCHORARRAY(E8),1),IF(_xlpm.a=0,"",ROUND(100*(0.5*_xlpm.comp+0.3*_xlpm.ot+0.2*_xlpm.od),0)))</f>
        <v>15</v>
      </c>
      <c r="J8" s="139" t="str" cm="1">
        <f t="array" aca="1" ref="J8:J17" ca="1">IF(_xlfn.ANCHORARRAY(I8)="","",REPT("★",ROUND(_xlfn.ANCHORARRAY(I8)/20,0))&amp;REPT("☆",5-ROUND(_xlfn.ANCHORARRAY(I8)/20,0)))</f>
        <v>★☆☆☆☆</v>
      </c>
      <c r="K8" s="136" cm="1">
        <f t="array" aca="1" ref="K8:K17" ca="1">IF(_xlfn.ANCHORARRAY(I8)="","",_xlfn.XMATCH(_xlfn.ANCHORARRAY(I8),_xlfn._xlws.SORT(_xlfn._xlws.FILTER(_xlfn.ANCHORARRAY(I8),_xlfn.ANCHORARRAY(I8)&lt;&gt;""),,-1)))</f>
        <v>3</v>
      </c>
      <c r="L8" s="140" t="str" cm="1">
        <f t="array" aca="1" ref="L8:L17" ca="1">IF(_xlfn.ANCHORARRAY(K8)="","",IF(_xlfn.ANCHORARRAY(K8)=1,"🥇 MVP",IF(_xlfn.ANCHORARRAY(K8)=2,"🥈 2nd",IF(_xlfn.ANCHORARRAY(K8)=3,"🥉 3rd",IF(N(_xlfn.ANCHORARRAY(I8))&gt;=80,"🔥 Strong","")))))</f>
        <v>🥉 3rd</v>
      </c>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row>
    <row r="9" spans="1:52" ht="22.05" customHeight="1" x14ac:dyDescent="0.35">
      <c r="A9" s="34"/>
      <c r="B9" s="141" t="str">
        <v>Omar Haddad</v>
      </c>
      <c r="C9" s="142">
        <v>2</v>
      </c>
      <c r="D9" s="142">
        <v>0</v>
      </c>
      <c r="E9" s="142">
        <v>2</v>
      </c>
      <c r="F9" s="142">
        <f ca="1"/>
        <v>0</v>
      </c>
      <c r="G9" s="143">
        <v>0</v>
      </c>
      <c r="H9" s="143" t="str">
        <v/>
      </c>
      <c r="I9" s="144">
        <f ca="1"/>
        <v>20</v>
      </c>
      <c r="J9" s="145" t="str">
        <f ca="1"/>
        <v>★☆☆☆☆</v>
      </c>
      <c r="K9" s="142">
        <f ca="1"/>
        <v>1</v>
      </c>
      <c r="L9" s="146" t="str">
        <f ca="1"/>
        <v>🥇 MVP</v>
      </c>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row>
    <row r="10" spans="1:52" ht="22.05" customHeight="1" x14ac:dyDescent="0.35">
      <c r="A10" s="34"/>
      <c r="B10" s="141" t="str">
        <v>Lina Park</v>
      </c>
      <c r="C10" s="142">
        <v>3</v>
      </c>
      <c r="D10" s="142">
        <v>0</v>
      </c>
      <c r="E10" s="142">
        <v>3</v>
      </c>
      <c r="F10" s="142">
        <f ca="1"/>
        <v>1</v>
      </c>
      <c r="G10" s="143">
        <v>0</v>
      </c>
      <c r="H10" s="143" t="str">
        <v/>
      </c>
      <c r="I10" s="144">
        <f ca="1"/>
        <v>13</v>
      </c>
      <c r="J10" s="145" t="str">
        <f ca="1"/>
        <v>★☆☆☆☆</v>
      </c>
      <c r="K10" s="142">
        <f ca="1"/>
        <v>5</v>
      </c>
      <c r="L10" s="146" t="str">
        <f ca="1"/>
        <v/>
      </c>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row>
    <row r="11" spans="1:52" ht="22.05" customHeight="1" x14ac:dyDescent="0.35">
      <c r="A11" s="34"/>
      <c r="B11" s="141" t="str">
        <v>Jack Moore</v>
      </c>
      <c r="C11" s="142">
        <v>5</v>
      </c>
      <c r="D11" s="142">
        <v>0</v>
      </c>
      <c r="E11" s="142">
        <v>5</v>
      </c>
      <c r="F11" s="142">
        <f ca="1"/>
        <v>3</v>
      </c>
      <c r="G11" s="143">
        <v>0</v>
      </c>
      <c r="H11" s="143" t="str">
        <v/>
      </c>
      <c r="I11" s="144">
        <f ca="1"/>
        <v>8</v>
      </c>
      <c r="J11" s="145" t="str">
        <f ca="1"/>
        <v>☆☆☆☆☆</v>
      </c>
      <c r="K11" s="142">
        <f ca="1"/>
        <v>10</v>
      </c>
      <c r="L11" s="146" t="str">
        <f ca="1"/>
        <v/>
      </c>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row>
    <row r="12" spans="1:52" ht="22.05" customHeight="1" x14ac:dyDescent="0.35">
      <c r="A12" s="34"/>
      <c r="B12" s="141" t="str">
        <v>Maya Chen</v>
      </c>
      <c r="C12" s="142">
        <v>4</v>
      </c>
      <c r="D12" s="142">
        <v>0</v>
      </c>
      <c r="E12" s="142">
        <v>4</v>
      </c>
      <c r="F12" s="142">
        <f ca="1"/>
        <v>2</v>
      </c>
      <c r="G12" s="143">
        <v>0</v>
      </c>
      <c r="H12" s="143" t="str">
        <v/>
      </c>
      <c r="I12" s="144">
        <f ca="1"/>
        <v>10</v>
      </c>
      <c r="J12" s="145" t="str">
        <f ca="1"/>
        <v>★☆☆☆☆</v>
      </c>
      <c r="K12" s="142">
        <f ca="1"/>
        <v>8</v>
      </c>
      <c r="L12" s="146" t="str">
        <f ca="1"/>
        <v/>
      </c>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row>
    <row r="13" spans="1:52" ht="22.05" customHeight="1" x14ac:dyDescent="0.35">
      <c r="A13" s="34"/>
      <c r="B13" s="141" t="str">
        <v>Ravi Kumar</v>
      </c>
      <c r="C13" s="142">
        <v>3</v>
      </c>
      <c r="D13" s="142">
        <v>0</v>
      </c>
      <c r="E13" s="142">
        <v>3</v>
      </c>
      <c r="F13" s="142">
        <f ca="1"/>
        <v>1</v>
      </c>
      <c r="G13" s="143">
        <v>0</v>
      </c>
      <c r="H13" s="143" t="str">
        <v/>
      </c>
      <c r="I13" s="144">
        <f ca="1"/>
        <v>13</v>
      </c>
      <c r="J13" s="145" t="str">
        <f ca="1"/>
        <v>★☆☆☆☆</v>
      </c>
      <c r="K13" s="142">
        <f ca="1"/>
        <v>5</v>
      </c>
      <c r="L13" s="146" t="str">
        <f ca="1"/>
        <v/>
      </c>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row>
    <row r="14" spans="1:52" ht="22.05" customHeight="1" x14ac:dyDescent="0.35">
      <c r="A14" s="34"/>
      <c r="B14" s="141" t="str">
        <v>Nora Fischer</v>
      </c>
      <c r="C14" s="142">
        <v>6</v>
      </c>
      <c r="D14" s="142">
        <v>0</v>
      </c>
      <c r="E14" s="142">
        <v>6</v>
      </c>
      <c r="F14" s="142">
        <f ca="1"/>
        <v>2</v>
      </c>
      <c r="G14" s="143">
        <v>0</v>
      </c>
      <c r="H14" s="143" t="str">
        <v/>
      </c>
      <c r="I14" s="144">
        <f ca="1"/>
        <v>13</v>
      </c>
      <c r="J14" s="145" t="str">
        <f ca="1"/>
        <v>★☆☆☆☆</v>
      </c>
      <c r="K14" s="142">
        <f ca="1"/>
        <v>5</v>
      </c>
      <c r="L14" s="146" t="str">
        <f ca="1"/>
        <v/>
      </c>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row>
    <row r="15" spans="1:52" ht="22.05" customHeight="1" x14ac:dyDescent="0.35">
      <c r="A15" s="34"/>
      <c r="B15" s="141" t="str">
        <v>Diego Santos</v>
      </c>
      <c r="C15" s="142">
        <v>4</v>
      </c>
      <c r="D15" s="142">
        <v>0</v>
      </c>
      <c r="E15" s="142">
        <v>4</v>
      </c>
      <c r="F15" s="142">
        <f ca="1"/>
        <v>1</v>
      </c>
      <c r="G15" s="143">
        <v>0</v>
      </c>
      <c r="H15" s="143" t="str">
        <v/>
      </c>
      <c r="I15" s="144">
        <f ca="1"/>
        <v>15</v>
      </c>
      <c r="J15" s="145" t="str">
        <f ca="1"/>
        <v>★☆☆☆☆</v>
      </c>
      <c r="K15" s="142">
        <f ca="1"/>
        <v>3</v>
      </c>
      <c r="L15" s="146" t="str">
        <f ca="1"/>
        <v>🥉 3rd</v>
      </c>
      <c r="M15" s="34"/>
      <c r="N15" s="34"/>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row>
    <row r="16" spans="1:52" ht="22.05" customHeight="1" x14ac:dyDescent="0.35">
      <c r="A16" s="34"/>
      <c r="B16" s="141" t="str">
        <v>Aisha Bello</v>
      </c>
      <c r="C16" s="142">
        <v>6</v>
      </c>
      <c r="D16" s="142">
        <v>0</v>
      </c>
      <c r="E16" s="142">
        <v>6</v>
      </c>
      <c r="F16" s="142">
        <f ca="1"/>
        <v>0</v>
      </c>
      <c r="G16" s="143">
        <v>0</v>
      </c>
      <c r="H16" s="143" t="str">
        <v/>
      </c>
      <c r="I16" s="144">
        <f ca="1"/>
        <v>20</v>
      </c>
      <c r="J16" s="145" t="str">
        <f ca="1"/>
        <v>★☆☆☆☆</v>
      </c>
      <c r="K16" s="142">
        <f ca="1"/>
        <v>1</v>
      </c>
      <c r="L16" s="146" t="str">
        <f ca="1"/>
        <v>🥇 MVP</v>
      </c>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row>
    <row r="17" spans="1:52" ht="22.05" customHeight="1" x14ac:dyDescent="0.35">
      <c r="A17" s="34"/>
      <c r="B17" s="141" t="str">
        <v>Tom Becker</v>
      </c>
      <c r="C17" s="142">
        <v>4</v>
      </c>
      <c r="D17" s="142">
        <v>0</v>
      </c>
      <c r="E17" s="142">
        <v>4</v>
      </c>
      <c r="F17" s="142">
        <f ca="1"/>
        <v>2</v>
      </c>
      <c r="G17" s="143">
        <v>0</v>
      </c>
      <c r="H17" s="143" t="str">
        <v/>
      </c>
      <c r="I17" s="144">
        <f ca="1"/>
        <v>10</v>
      </c>
      <c r="J17" s="145" t="str">
        <f ca="1"/>
        <v>★☆☆☆☆</v>
      </c>
      <c r="K17" s="142">
        <f ca="1"/>
        <v>8</v>
      </c>
      <c r="L17" s="146" t="str">
        <f ca="1"/>
        <v/>
      </c>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row>
    <row r="18" spans="1:52" ht="22.05" customHeight="1" x14ac:dyDescent="0.35">
      <c r="A18" s="34"/>
      <c r="B18" s="141"/>
      <c r="C18" s="142"/>
      <c r="D18" s="142"/>
      <c r="E18" s="142"/>
      <c r="F18" s="142"/>
      <c r="G18" s="143"/>
      <c r="H18" s="143"/>
      <c r="I18" s="144"/>
      <c r="J18" s="145"/>
      <c r="K18" s="142"/>
      <c r="L18" s="146"/>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row>
    <row r="19" spans="1:52" ht="22.05" customHeight="1" x14ac:dyDescent="0.35">
      <c r="A19" s="34"/>
      <c r="B19" s="141"/>
      <c r="C19" s="142"/>
      <c r="D19" s="142"/>
      <c r="E19" s="142"/>
      <c r="F19" s="142"/>
      <c r="G19" s="143"/>
      <c r="H19" s="143"/>
      <c r="I19" s="144"/>
      <c r="J19" s="145"/>
      <c r="K19" s="142"/>
      <c r="L19" s="146"/>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row>
    <row r="20" spans="1:52" ht="22.05" customHeight="1" x14ac:dyDescent="0.35">
      <c r="A20" s="34"/>
      <c r="B20" s="141"/>
      <c r="C20" s="142"/>
      <c r="D20" s="142"/>
      <c r="E20" s="142"/>
      <c r="F20" s="142"/>
      <c r="G20" s="143"/>
      <c r="H20" s="143"/>
      <c r="I20" s="144"/>
      <c r="J20" s="145"/>
      <c r="K20" s="142"/>
      <c r="L20" s="146"/>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row>
    <row r="21" spans="1:52" ht="22.05" customHeight="1" x14ac:dyDescent="0.35">
      <c r="A21" s="34"/>
      <c r="B21" s="141"/>
      <c r="C21" s="142"/>
      <c r="D21" s="142"/>
      <c r="E21" s="142"/>
      <c r="F21" s="142"/>
      <c r="G21" s="143"/>
      <c r="H21" s="143"/>
      <c r="I21" s="144"/>
      <c r="J21" s="145"/>
      <c r="K21" s="142"/>
      <c r="L21" s="146"/>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row>
    <row r="22" spans="1:52" ht="22.05" customHeight="1" x14ac:dyDescent="0.35">
      <c r="A22" s="34"/>
      <c r="B22" s="147"/>
      <c r="C22" s="148"/>
      <c r="D22" s="148"/>
      <c r="E22" s="148"/>
      <c r="F22" s="148"/>
      <c r="G22" s="149"/>
      <c r="H22" s="149"/>
      <c r="I22" s="150"/>
      <c r="J22" s="151"/>
      <c r="K22" s="148"/>
      <c r="L22" s="152"/>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row>
    <row r="23" spans="1:52" x14ac:dyDescent="0.35">
      <c r="A23" s="34"/>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row>
    <row r="24" spans="1:52" x14ac:dyDescent="0.35">
      <c r="A24" s="34"/>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row>
    <row r="25" spans="1:52" ht="25.95" customHeight="1" x14ac:dyDescent="0.45">
      <c r="A25" s="34"/>
      <c r="B25" s="46" t="s">
        <v>304</v>
      </c>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row>
    <row r="26" spans="1:52" ht="22.05" customHeight="1" x14ac:dyDescent="0.35">
      <c r="A26" s="34"/>
      <c r="B26" s="132" t="s">
        <v>244</v>
      </c>
      <c r="C26" s="133" t="s">
        <v>305</v>
      </c>
      <c r="D26" s="153" t="s">
        <v>243</v>
      </c>
      <c r="E26" s="133" t="s">
        <v>306</v>
      </c>
      <c r="F26" s="133" t="s">
        <v>250</v>
      </c>
      <c r="G26" s="133" t="s">
        <v>249</v>
      </c>
      <c r="H26" s="133" t="s">
        <v>234</v>
      </c>
      <c r="I26" s="133" t="s">
        <v>307</v>
      </c>
      <c r="J26" s="133" t="s">
        <v>308</v>
      </c>
      <c r="K26" s="153" t="s">
        <v>248</v>
      </c>
      <c r="L26" s="57"/>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row>
    <row r="27" spans="1:52" ht="22.05" customHeight="1" x14ac:dyDescent="0.35">
      <c r="A27" s="34"/>
      <c r="B27" s="135" t="str" cm="1">
        <f t="array" aca="1" ref="B27:K33" ca="1">IFERROR(_xlfn.HSTACK(tblProjects[Project],tblProjects[Code],tblProjects[Owner],tblProjects[Tasks],tblProjects[Done],tblProjects[Progress],tblProjects[Overdue],tblProjects[Days Left],tblProjects[Target Date],tblProjects[Health]),"")</f>
        <v>Website Redesign</v>
      </c>
      <c r="C27" s="136" t="str">
        <f ca="1"/>
        <v>WEB</v>
      </c>
      <c r="D27" s="154" t="str">
        <f ca="1"/>
        <v>Sara Ali</v>
      </c>
      <c r="E27" s="136">
        <f ca="1"/>
        <v>9</v>
      </c>
      <c r="F27" s="136">
        <f ca="1"/>
        <v>0</v>
      </c>
      <c r="G27" s="137">
        <f ca="1"/>
        <v>0</v>
      </c>
      <c r="H27" s="136">
        <f ca="1"/>
        <v>3</v>
      </c>
      <c r="I27" s="110">
        <f ca="1"/>
        <v>25</v>
      </c>
      <c r="J27" s="155">
        <f ca="1"/>
        <v>46337</v>
      </c>
      <c r="K27" s="61" t="str">
        <f ca="1"/>
        <v>⛔ Off Track</v>
      </c>
      <c r="L27" s="6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row>
    <row r="28" spans="1:52" ht="22.05" customHeight="1" x14ac:dyDescent="0.35">
      <c r="A28" s="34"/>
      <c r="B28" s="141" t="str">
        <f ca="1"/>
        <v>Q4 Marketing Campaign</v>
      </c>
      <c r="C28" s="142" t="str">
        <f ca="1"/>
        <v>MKT</v>
      </c>
      <c r="D28" s="156" t="str">
        <f ca="1"/>
        <v>Lina Park</v>
      </c>
      <c r="E28" s="142">
        <f ca="1"/>
        <v>8</v>
      </c>
      <c r="F28" s="142">
        <f ca="1"/>
        <v>0</v>
      </c>
      <c r="G28" s="143">
        <f ca="1"/>
        <v>0</v>
      </c>
      <c r="H28" s="142">
        <f ca="1"/>
        <v>3</v>
      </c>
      <c r="I28" s="112">
        <f ca="1"/>
        <v>45</v>
      </c>
      <c r="J28" s="157">
        <f ca="1"/>
        <v>46357</v>
      </c>
      <c r="K28" s="66" t="str">
        <f ca="1"/>
        <v>⛔ Off Track</v>
      </c>
      <c r="L28" s="69"/>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row>
    <row r="29" spans="1:52" ht="22.05" customHeight="1" x14ac:dyDescent="0.35">
      <c r="A29" s="34"/>
      <c r="B29" s="141" t="str">
        <f ca="1"/>
        <v>Mobile App v2</v>
      </c>
      <c r="C29" s="142" t="str">
        <f ca="1"/>
        <v>APP</v>
      </c>
      <c r="D29" s="156" t="str">
        <f ca="1"/>
        <v>Omar Haddad</v>
      </c>
      <c r="E29" s="142">
        <f ca="1"/>
        <v>8</v>
      </c>
      <c r="F29" s="142">
        <f ca="1"/>
        <v>0</v>
      </c>
      <c r="G29" s="143">
        <f ca="1"/>
        <v>0</v>
      </c>
      <c r="H29" s="142">
        <f ca="1"/>
        <v>3</v>
      </c>
      <c r="I29" s="112">
        <f ca="1"/>
        <v>10</v>
      </c>
      <c r="J29" s="157">
        <f ca="1"/>
        <v>46322</v>
      </c>
      <c r="K29" s="66" t="str">
        <f ca="1"/>
        <v>⛔ Off Track</v>
      </c>
      <c r="L29" s="69"/>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row>
    <row r="30" spans="1:52" ht="22.05" customHeight="1" x14ac:dyDescent="0.35">
      <c r="A30" s="34"/>
      <c r="B30" s="141" t="str">
        <f ca="1"/>
        <v>Customer Onboarding</v>
      </c>
      <c r="C30" s="142" t="str">
        <f ca="1"/>
        <v>ONB</v>
      </c>
      <c r="D30" s="156" t="str">
        <f ca="1"/>
        <v>Maya Chen</v>
      </c>
      <c r="E30" s="142">
        <f ca="1"/>
        <v>6</v>
      </c>
      <c r="F30" s="142">
        <f ca="1"/>
        <v>0</v>
      </c>
      <c r="G30" s="143">
        <f ca="1"/>
        <v>0</v>
      </c>
      <c r="H30" s="142">
        <f ca="1"/>
        <v>1</v>
      </c>
      <c r="I30" s="112">
        <f ca="1"/>
        <v>60</v>
      </c>
      <c r="J30" s="157">
        <f ca="1"/>
        <v>46372</v>
      </c>
      <c r="K30" s="66" t="str">
        <f ca="1"/>
        <v>⚠ At Risk</v>
      </c>
      <c r="L30" s="69"/>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row>
    <row r="31" spans="1:52" ht="22.05" customHeight="1" x14ac:dyDescent="0.35">
      <c r="A31" s="34"/>
      <c r="B31" s="141" t="str">
        <f ca="1"/>
        <v>General / Ops</v>
      </c>
      <c r="C31" s="142" t="str">
        <f ca="1"/>
        <v>OPS</v>
      </c>
      <c r="D31" s="156" t="str">
        <f ca="1"/>
        <v>Sara Ali</v>
      </c>
      <c r="E31" s="142">
        <f ca="1"/>
        <v>6</v>
      </c>
      <c r="F31" s="142">
        <f ca="1"/>
        <v>0</v>
      </c>
      <c r="G31" s="143">
        <f ca="1"/>
        <v>0</v>
      </c>
      <c r="H31" s="142">
        <f ca="1"/>
        <v>3</v>
      </c>
      <c r="I31" s="112">
        <f ca="1"/>
        <v>90</v>
      </c>
      <c r="J31" s="157">
        <f ca="1"/>
        <v>46402</v>
      </c>
      <c r="K31" s="66" t="str">
        <f ca="1"/>
        <v>⛔ Off Track</v>
      </c>
      <c r="L31" s="69"/>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row>
    <row r="32" spans="1:52" ht="22.05" customHeight="1" x14ac:dyDescent="0.35">
      <c r="A32" s="34"/>
      <c r="B32" s="141" t="str">
        <f ca="1"/>
        <v>Annual Report 2026</v>
      </c>
      <c r="C32" s="142" t="str">
        <f ca="1"/>
        <v>RPT</v>
      </c>
      <c r="D32" s="156" t="str">
        <f ca="1"/>
        <v>Ravi Kumar</v>
      </c>
      <c r="E32" s="142">
        <f ca="1"/>
        <v>3</v>
      </c>
      <c r="F32" s="142">
        <f ca="1"/>
        <v>0</v>
      </c>
      <c r="G32" s="143">
        <f ca="1"/>
        <v>0</v>
      </c>
      <c r="H32" s="142">
        <f ca="1"/>
        <v>0</v>
      </c>
      <c r="I32" s="112">
        <f ca="1"/>
        <v>70</v>
      </c>
      <c r="J32" s="157">
        <f ca="1"/>
        <v>46382</v>
      </c>
      <c r="K32" s="66" t="str">
        <f ca="1"/>
        <v>✅ On Track</v>
      </c>
      <c r="L32" s="69"/>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row>
    <row r="33" spans="1:52" ht="22.05" customHeight="1" x14ac:dyDescent="0.35">
      <c r="A33" s="34"/>
      <c r="B33" s="141" t="str">
        <f ca="1"/>
        <v>ExCon</v>
      </c>
      <c r="C33" s="142" t="str">
        <f ca="1"/>
        <v>UPA</v>
      </c>
      <c r="D33" s="156" t="str">
        <f ca="1"/>
        <v>Maya Chen</v>
      </c>
      <c r="E33" s="142">
        <f ca="1"/>
        <v>1</v>
      </c>
      <c r="F33" s="142">
        <f ca="1"/>
        <v>0</v>
      </c>
      <c r="G33" s="143">
        <f ca="1"/>
        <v>0</v>
      </c>
      <c r="H33" s="142">
        <f ca="1"/>
        <v>0</v>
      </c>
      <c r="I33" s="112">
        <f ca="1"/>
        <v>92</v>
      </c>
      <c r="J33" s="157">
        <f ca="1"/>
        <v>46404</v>
      </c>
      <c r="K33" s="66" t="str">
        <f ca="1"/>
        <v>✅ On Track</v>
      </c>
      <c r="L33" s="69"/>
      <c r="M33" s="34"/>
      <c r="N33" s="34"/>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row>
    <row r="34" spans="1:52" ht="22.05" customHeight="1" x14ac:dyDescent="0.35">
      <c r="A34" s="34"/>
      <c r="B34" s="141"/>
      <c r="C34" s="142"/>
      <c r="D34" s="156"/>
      <c r="E34" s="142"/>
      <c r="F34" s="142"/>
      <c r="G34" s="143"/>
      <c r="H34" s="142"/>
      <c r="I34" s="112"/>
      <c r="J34" s="157"/>
      <c r="K34" s="66"/>
      <c r="L34" s="69"/>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row>
    <row r="35" spans="1:52" ht="22.05" customHeight="1" x14ac:dyDescent="0.35">
      <c r="A35" s="34"/>
      <c r="B35" s="141"/>
      <c r="C35" s="142"/>
      <c r="D35" s="156"/>
      <c r="E35" s="142"/>
      <c r="F35" s="142"/>
      <c r="G35" s="143"/>
      <c r="H35" s="142"/>
      <c r="I35" s="112"/>
      <c r="J35" s="157"/>
      <c r="K35" s="66"/>
      <c r="L35" s="69"/>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row>
    <row r="36" spans="1:52" ht="22.05" customHeight="1" x14ac:dyDescent="0.35">
      <c r="A36" s="34"/>
      <c r="B36" s="141"/>
      <c r="C36" s="142"/>
      <c r="D36" s="156"/>
      <c r="E36" s="142"/>
      <c r="F36" s="142"/>
      <c r="G36" s="143"/>
      <c r="H36" s="142"/>
      <c r="I36" s="112"/>
      <c r="J36" s="157"/>
      <c r="K36" s="66"/>
      <c r="L36" s="69"/>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row>
    <row r="37" spans="1:52" ht="22.05" customHeight="1" x14ac:dyDescent="0.35">
      <c r="A37" s="34"/>
      <c r="B37" s="141"/>
      <c r="C37" s="142"/>
      <c r="D37" s="156"/>
      <c r="E37" s="142"/>
      <c r="F37" s="142"/>
      <c r="G37" s="143"/>
      <c r="H37" s="142"/>
      <c r="I37" s="112"/>
      <c r="J37" s="157"/>
      <c r="K37" s="66"/>
      <c r="L37" s="69"/>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row>
    <row r="38" spans="1:52" ht="22.05" customHeight="1" x14ac:dyDescent="0.35">
      <c r="A38" s="34"/>
      <c r="B38" s="141"/>
      <c r="C38" s="142"/>
      <c r="D38" s="156"/>
      <c r="E38" s="142"/>
      <c r="F38" s="142"/>
      <c r="G38" s="143"/>
      <c r="H38" s="142"/>
      <c r="I38" s="112"/>
      <c r="J38" s="157"/>
      <c r="K38" s="66"/>
      <c r="L38" s="69"/>
      <c r="M38" s="34"/>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row>
    <row r="39" spans="1:52" ht="22.05" customHeight="1" x14ac:dyDescent="0.35">
      <c r="A39" s="34"/>
      <c r="B39" s="141"/>
      <c r="C39" s="142"/>
      <c r="D39" s="156"/>
      <c r="E39" s="142"/>
      <c r="F39" s="142"/>
      <c r="G39" s="143"/>
      <c r="H39" s="142"/>
      <c r="I39" s="112"/>
      <c r="J39" s="157"/>
      <c r="K39" s="66"/>
      <c r="L39" s="69"/>
      <c r="M39" s="34"/>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row>
    <row r="40" spans="1:52" ht="22.05" customHeight="1" x14ac:dyDescent="0.35">
      <c r="A40" s="34"/>
      <c r="B40" s="141"/>
      <c r="C40" s="142"/>
      <c r="D40" s="156"/>
      <c r="E40" s="142"/>
      <c r="F40" s="142"/>
      <c r="G40" s="143"/>
      <c r="H40" s="142"/>
      <c r="I40" s="112"/>
      <c r="J40" s="157"/>
      <c r="K40" s="66"/>
      <c r="L40" s="69"/>
      <c r="M40" s="34"/>
      <c r="N40" s="34"/>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row>
    <row r="41" spans="1:52" ht="22.05" customHeight="1" x14ac:dyDescent="0.35">
      <c r="A41" s="34"/>
      <c r="B41" s="141"/>
      <c r="C41" s="142"/>
      <c r="D41" s="156"/>
      <c r="E41" s="142"/>
      <c r="F41" s="142"/>
      <c r="G41" s="143"/>
      <c r="H41" s="142"/>
      <c r="I41" s="112"/>
      <c r="J41" s="157"/>
      <c r="K41" s="66"/>
      <c r="L41" s="69"/>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row>
    <row r="42" spans="1:52" ht="22.05" customHeight="1" x14ac:dyDescent="0.35">
      <c r="A42" s="34"/>
      <c r="B42" s="141"/>
      <c r="C42" s="142"/>
      <c r="D42" s="156"/>
      <c r="E42" s="142"/>
      <c r="F42" s="142"/>
      <c r="G42" s="143"/>
      <c r="H42" s="142"/>
      <c r="I42" s="112"/>
      <c r="J42" s="157"/>
      <c r="K42" s="66"/>
      <c r="L42" s="69"/>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row>
    <row r="43" spans="1:52" ht="22.05" customHeight="1" x14ac:dyDescent="0.35">
      <c r="A43" s="34"/>
      <c r="B43" s="141"/>
      <c r="C43" s="142"/>
      <c r="D43" s="156"/>
      <c r="E43" s="142"/>
      <c r="F43" s="142"/>
      <c r="G43" s="143"/>
      <c r="H43" s="142"/>
      <c r="I43" s="112"/>
      <c r="J43" s="157"/>
      <c r="K43" s="66"/>
      <c r="L43" s="69"/>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row>
    <row r="44" spans="1:52" ht="22.05" customHeight="1" x14ac:dyDescent="0.35">
      <c r="A44" s="34"/>
      <c r="B44" s="141"/>
      <c r="C44" s="142"/>
      <c r="D44" s="156"/>
      <c r="E44" s="142"/>
      <c r="F44" s="142"/>
      <c r="G44" s="143"/>
      <c r="H44" s="142"/>
      <c r="I44" s="112"/>
      <c r="J44" s="157"/>
      <c r="K44" s="66"/>
      <c r="L44" s="69"/>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row>
    <row r="45" spans="1:52" ht="22.05" customHeight="1" x14ac:dyDescent="0.35">
      <c r="A45" s="34"/>
      <c r="B45" s="141"/>
      <c r="C45" s="142"/>
      <c r="D45" s="156"/>
      <c r="E45" s="142"/>
      <c r="F45" s="142"/>
      <c r="G45" s="143"/>
      <c r="H45" s="142"/>
      <c r="I45" s="112"/>
      <c r="J45" s="157"/>
      <c r="K45" s="66"/>
      <c r="L45" s="69"/>
      <c r="M45" s="34"/>
      <c r="N45" s="34"/>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row>
    <row r="46" spans="1:52" ht="22.05" customHeight="1" x14ac:dyDescent="0.35">
      <c r="A46" s="34"/>
      <c r="B46" s="147"/>
      <c r="C46" s="148"/>
      <c r="D46" s="158"/>
      <c r="E46" s="148"/>
      <c r="F46" s="148"/>
      <c r="G46" s="149"/>
      <c r="H46" s="148"/>
      <c r="I46" s="114"/>
      <c r="J46" s="159"/>
      <c r="K46" s="71"/>
      <c r="L46" s="74"/>
      <c r="M46" s="34"/>
      <c r="N46" s="34"/>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row>
    <row r="47" spans="1:52" x14ac:dyDescent="0.35">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row>
    <row r="48" spans="1:52" x14ac:dyDescent="0.35">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row>
    <row r="49" spans="1:52" x14ac:dyDescent="0.35">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row>
    <row r="50" spans="1:52" x14ac:dyDescent="0.35">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row>
    <row r="51" spans="1:52" x14ac:dyDescent="0.35">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row>
    <row r="52" spans="1:52" x14ac:dyDescent="0.35">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row>
    <row r="53" spans="1:52" x14ac:dyDescent="0.35">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row>
    <row r="54" spans="1:52" x14ac:dyDescent="0.35">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row>
    <row r="55" spans="1:52" x14ac:dyDescent="0.35">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row>
    <row r="56" spans="1:52" x14ac:dyDescent="0.35">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row>
    <row r="57" spans="1:52" x14ac:dyDescent="0.35">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row>
    <row r="58" spans="1:52" x14ac:dyDescent="0.35">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row>
    <row r="59" spans="1:52" x14ac:dyDescent="0.35">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row>
    <row r="60" spans="1:52" x14ac:dyDescent="0.35">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row>
    <row r="61" spans="1:52" x14ac:dyDescent="0.35">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row>
    <row r="62" spans="1:52" x14ac:dyDescent="0.35">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row>
    <row r="63" spans="1:52" x14ac:dyDescent="0.35">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row>
    <row r="64" spans="1:52" x14ac:dyDescent="0.35">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row>
    <row r="65" spans="1:52" x14ac:dyDescent="0.3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row>
    <row r="66" spans="1:52" x14ac:dyDescent="0.35">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row>
    <row r="67" spans="1:52" x14ac:dyDescent="0.35">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row>
    <row r="68" spans="1:52" x14ac:dyDescent="0.35">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row>
    <row r="69" spans="1:52" x14ac:dyDescent="0.35">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row>
    <row r="70" spans="1:52" x14ac:dyDescent="0.35">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row>
    <row r="71" spans="1:52" x14ac:dyDescent="0.35">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row>
    <row r="72" spans="1:52" x14ac:dyDescent="0.35">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row>
    <row r="73" spans="1:52" x14ac:dyDescent="0.35">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row>
    <row r="74" spans="1:52" x14ac:dyDescent="0.35">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row>
    <row r="75" spans="1:52" x14ac:dyDescent="0.3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row>
    <row r="76" spans="1:52" x14ac:dyDescent="0.35">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row>
    <row r="77" spans="1:52" x14ac:dyDescent="0.35">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row>
    <row r="78" spans="1:52" x14ac:dyDescent="0.35">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row>
    <row r="79" spans="1:52" x14ac:dyDescent="0.35">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row>
    <row r="80" spans="1:52" x14ac:dyDescent="0.35">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row>
    <row r="81" spans="1:52" x14ac:dyDescent="0.35">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row>
    <row r="82" spans="1:52" x14ac:dyDescent="0.35">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row>
    <row r="83" spans="1:52" x14ac:dyDescent="0.35">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row>
    <row r="84" spans="1:52" x14ac:dyDescent="0.35">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row>
    <row r="85" spans="1:52" x14ac:dyDescent="0.3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row>
    <row r="86" spans="1:52" x14ac:dyDescent="0.35">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row>
    <row r="87" spans="1:52" x14ac:dyDescent="0.35">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row>
    <row r="88" spans="1:52" x14ac:dyDescent="0.35">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row>
    <row r="89" spans="1:52" x14ac:dyDescent="0.35">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row>
    <row r="90" spans="1:52" x14ac:dyDescent="0.35">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row>
    <row r="91" spans="1:52" x14ac:dyDescent="0.35">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row>
    <row r="92" spans="1:52" x14ac:dyDescent="0.35">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row>
    <row r="93" spans="1:52" x14ac:dyDescent="0.35">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row>
    <row r="94" spans="1:52" x14ac:dyDescent="0.35">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row>
    <row r="95" spans="1:52" x14ac:dyDescent="0.3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row>
    <row r="96" spans="1:52" x14ac:dyDescent="0.35">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row>
    <row r="97" spans="1:52" x14ac:dyDescent="0.35">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row>
    <row r="98" spans="1:52" x14ac:dyDescent="0.35">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row>
    <row r="99" spans="1:52" x14ac:dyDescent="0.35">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row>
    <row r="100" spans="1:52" x14ac:dyDescent="0.35">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row>
    <row r="101" spans="1:52" x14ac:dyDescent="0.35">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row>
    <row r="102" spans="1:52" x14ac:dyDescent="0.35">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row>
    <row r="103" spans="1:52" x14ac:dyDescent="0.35">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row>
    <row r="104" spans="1:52" x14ac:dyDescent="0.35">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row>
    <row r="105" spans="1:52" x14ac:dyDescent="0.3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row>
    <row r="106" spans="1:52" x14ac:dyDescent="0.35">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row>
    <row r="107" spans="1:52" x14ac:dyDescent="0.35">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row>
    <row r="108" spans="1:52" x14ac:dyDescent="0.35">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row>
    <row r="109" spans="1:52" x14ac:dyDescent="0.35">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row>
    <row r="110" spans="1:52" x14ac:dyDescent="0.35">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row>
    <row r="111" spans="1:52" x14ac:dyDescent="0.35">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row>
    <row r="112" spans="1:52" x14ac:dyDescent="0.35">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row>
    <row r="113" spans="1:52" x14ac:dyDescent="0.35">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row>
    <row r="114" spans="1:52" x14ac:dyDescent="0.35">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row>
    <row r="115" spans="1:52" x14ac:dyDescent="0.3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row>
    <row r="116" spans="1:52" x14ac:dyDescent="0.35">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row>
    <row r="117" spans="1:52" x14ac:dyDescent="0.35">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row>
    <row r="118" spans="1:52" x14ac:dyDescent="0.35">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row>
    <row r="119" spans="1:52" x14ac:dyDescent="0.35">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row>
    <row r="120" spans="1:52" x14ac:dyDescent="0.35">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row>
    <row r="121" spans="1:52" x14ac:dyDescent="0.35">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row>
    <row r="122" spans="1:52" x14ac:dyDescent="0.35">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row>
    <row r="123" spans="1:52" x14ac:dyDescent="0.35">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row>
    <row r="124" spans="1:52" x14ac:dyDescent="0.35">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row>
    <row r="125" spans="1:52" x14ac:dyDescent="0.3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row>
    <row r="126" spans="1:52" x14ac:dyDescent="0.35">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row>
    <row r="127" spans="1:52" x14ac:dyDescent="0.35">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row>
    <row r="128" spans="1:52" x14ac:dyDescent="0.35">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row>
    <row r="129" spans="1:52" x14ac:dyDescent="0.35">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row>
    <row r="130" spans="1:52" x14ac:dyDescent="0.35">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row>
    <row r="131" spans="1:52" x14ac:dyDescent="0.35">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row>
    <row r="132" spans="1:52" x14ac:dyDescent="0.35">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row>
    <row r="133" spans="1:52" x14ac:dyDescent="0.35">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row>
    <row r="134" spans="1:52" x14ac:dyDescent="0.35">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row>
    <row r="135" spans="1:52" x14ac:dyDescent="0.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row>
    <row r="136" spans="1:52" x14ac:dyDescent="0.35">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row>
    <row r="137" spans="1:52" x14ac:dyDescent="0.35">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row>
    <row r="138" spans="1:52" x14ac:dyDescent="0.35">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row>
    <row r="139" spans="1:52" x14ac:dyDescent="0.35">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row>
    <row r="140" spans="1:52" x14ac:dyDescent="0.35">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row>
    <row r="141" spans="1:52" x14ac:dyDescent="0.35">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row>
    <row r="142" spans="1:52" x14ac:dyDescent="0.35">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row>
    <row r="143" spans="1:52" x14ac:dyDescent="0.35">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row>
    <row r="144" spans="1:52" x14ac:dyDescent="0.35">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row>
    <row r="145" spans="1:52" x14ac:dyDescent="0.3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row>
    <row r="146" spans="1:52" x14ac:dyDescent="0.35">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row>
    <row r="147" spans="1:52" x14ac:dyDescent="0.35">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row>
    <row r="148" spans="1:52" x14ac:dyDescent="0.35">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row>
    <row r="149" spans="1:52" x14ac:dyDescent="0.35">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row>
    <row r="150" spans="1:52" x14ac:dyDescent="0.35">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row>
    <row r="151" spans="1:52" x14ac:dyDescent="0.35">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row>
    <row r="152" spans="1:52" x14ac:dyDescent="0.35">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row>
    <row r="153" spans="1:52" x14ac:dyDescent="0.35">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row>
    <row r="154" spans="1:52" x14ac:dyDescent="0.35">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row>
    <row r="155" spans="1:52" x14ac:dyDescent="0.3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row>
    <row r="156" spans="1:52" x14ac:dyDescent="0.35">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row>
    <row r="157" spans="1:52" x14ac:dyDescent="0.35">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row>
    <row r="158" spans="1:52" x14ac:dyDescent="0.35">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row>
    <row r="159" spans="1:52" x14ac:dyDescent="0.35">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row>
    <row r="160" spans="1:52" x14ac:dyDescent="0.35">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row>
    <row r="161" spans="1:52" x14ac:dyDescent="0.35">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row>
    <row r="162" spans="1:52" x14ac:dyDescent="0.35">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row>
    <row r="163" spans="1:52" x14ac:dyDescent="0.35">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row>
    <row r="164" spans="1:52" x14ac:dyDescent="0.35">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row>
    <row r="165" spans="1:52" x14ac:dyDescent="0.3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row>
    <row r="166" spans="1:52" x14ac:dyDescent="0.35">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row>
    <row r="167" spans="1:52" x14ac:dyDescent="0.35">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row>
    <row r="168" spans="1:52" x14ac:dyDescent="0.35">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row>
    <row r="169" spans="1:52" x14ac:dyDescent="0.35">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row>
    <row r="170" spans="1:52" x14ac:dyDescent="0.35">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row>
    <row r="171" spans="1:52" x14ac:dyDescent="0.35">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row>
    <row r="172" spans="1:52" x14ac:dyDescent="0.35">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row>
    <row r="173" spans="1:52" x14ac:dyDescent="0.35">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row>
    <row r="174" spans="1:52" x14ac:dyDescent="0.35">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row>
    <row r="175" spans="1:52" x14ac:dyDescent="0.3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row>
    <row r="176" spans="1:52" x14ac:dyDescent="0.35">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row>
    <row r="177" spans="1:52" x14ac:dyDescent="0.35">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row>
    <row r="178" spans="1:52" x14ac:dyDescent="0.35">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row>
    <row r="179" spans="1:52" x14ac:dyDescent="0.35">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row>
    <row r="180" spans="1:52" x14ac:dyDescent="0.35">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row>
    <row r="181" spans="1:52" x14ac:dyDescent="0.35">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row>
    <row r="182" spans="1:52" x14ac:dyDescent="0.35">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row>
    <row r="183" spans="1:52" x14ac:dyDescent="0.35">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row>
    <row r="184" spans="1:52" x14ac:dyDescent="0.35">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row>
    <row r="185" spans="1:52" x14ac:dyDescent="0.3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row>
    <row r="186" spans="1:52" x14ac:dyDescent="0.35">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row>
    <row r="187" spans="1:52" x14ac:dyDescent="0.35">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row>
    <row r="188" spans="1:52" x14ac:dyDescent="0.35">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row>
    <row r="189" spans="1:52" x14ac:dyDescent="0.35">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row>
    <row r="190" spans="1:52" x14ac:dyDescent="0.35">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row>
    <row r="191" spans="1:52" x14ac:dyDescent="0.35">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row>
    <row r="192" spans="1:52" x14ac:dyDescent="0.35">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row>
    <row r="193" spans="1:52" x14ac:dyDescent="0.35">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row>
    <row r="194" spans="1:52" x14ac:dyDescent="0.35">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row>
    <row r="195" spans="1:52" x14ac:dyDescent="0.3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row>
    <row r="196" spans="1:52" x14ac:dyDescent="0.35">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row>
    <row r="197" spans="1:52" x14ac:dyDescent="0.35">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row>
    <row r="198" spans="1:52" x14ac:dyDescent="0.35">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row>
    <row r="199" spans="1:52" x14ac:dyDescent="0.35">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row>
    <row r="200" spans="1:52" x14ac:dyDescent="0.35">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row>
    <row r="201" spans="1:52" x14ac:dyDescent="0.35">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row>
    <row r="202" spans="1:52" x14ac:dyDescent="0.35">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row>
    <row r="203" spans="1:52" x14ac:dyDescent="0.35">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row>
    <row r="204" spans="1:52" x14ac:dyDescent="0.35">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row>
    <row r="205" spans="1:52" x14ac:dyDescent="0.3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row>
    <row r="206" spans="1:52" x14ac:dyDescent="0.35">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row>
    <row r="207" spans="1:52" x14ac:dyDescent="0.35">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c r="AU207" s="34"/>
      <c r="AV207" s="34"/>
      <c r="AW207" s="34"/>
      <c r="AX207" s="34"/>
      <c r="AY207" s="34"/>
      <c r="AZ207" s="34"/>
    </row>
    <row r="208" spans="1:52" x14ac:dyDescent="0.35">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row>
    <row r="209" spans="1:52" x14ac:dyDescent="0.35">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row>
    <row r="210" spans="1:52" x14ac:dyDescent="0.35">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row>
    <row r="211" spans="1:52" x14ac:dyDescent="0.35">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row>
    <row r="212" spans="1:52" x14ac:dyDescent="0.35">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row>
    <row r="213" spans="1:52" x14ac:dyDescent="0.35">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row>
    <row r="214" spans="1:52" x14ac:dyDescent="0.35">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c r="AU214" s="34"/>
      <c r="AV214" s="34"/>
      <c r="AW214" s="34"/>
      <c r="AX214" s="34"/>
      <c r="AY214" s="34"/>
      <c r="AZ214" s="34"/>
    </row>
    <row r="215" spans="1:52" x14ac:dyDescent="0.3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c r="AU215" s="34"/>
      <c r="AV215" s="34"/>
      <c r="AW215" s="34"/>
      <c r="AX215" s="34"/>
      <c r="AY215" s="34"/>
      <c r="AZ215" s="34"/>
    </row>
    <row r="216" spans="1:52" x14ac:dyDescent="0.35">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c r="AU216" s="34"/>
      <c r="AV216" s="34"/>
      <c r="AW216" s="34"/>
      <c r="AX216" s="34"/>
      <c r="AY216" s="34"/>
      <c r="AZ216" s="34"/>
    </row>
    <row r="217" spans="1:52" x14ac:dyDescent="0.35">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row>
    <row r="218" spans="1:52" x14ac:dyDescent="0.35">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row>
    <row r="219" spans="1:52" x14ac:dyDescent="0.35">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row>
    <row r="220" spans="1:52" x14ac:dyDescent="0.35">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row>
    <row r="221" spans="1:52" x14ac:dyDescent="0.35">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row>
    <row r="222" spans="1:52" x14ac:dyDescent="0.35">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row>
    <row r="223" spans="1:52" x14ac:dyDescent="0.35">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row>
    <row r="224" spans="1:52" x14ac:dyDescent="0.35">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34"/>
      <c r="AU224" s="34"/>
      <c r="AV224" s="34"/>
      <c r="AW224" s="34"/>
      <c r="AX224" s="34"/>
      <c r="AY224" s="34"/>
      <c r="AZ224" s="34"/>
    </row>
    <row r="225" spans="1:52" x14ac:dyDescent="0.3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row>
    <row r="226" spans="1:52" x14ac:dyDescent="0.35">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row>
    <row r="227" spans="1:52" x14ac:dyDescent="0.35">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row>
    <row r="228" spans="1:52" x14ac:dyDescent="0.35">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row>
    <row r="229" spans="1:52" x14ac:dyDescent="0.35">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34"/>
      <c r="AU229" s="34"/>
      <c r="AV229" s="34"/>
      <c r="AW229" s="34"/>
      <c r="AX229" s="34"/>
      <c r="AY229" s="34"/>
      <c r="AZ229" s="34"/>
    </row>
    <row r="230" spans="1:52" x14ac:dyDescent="0.35">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34"/>
      <c r="AU230" s="34"/>
      <c r="AV230" s="34"/>
      <c r="AW230" s="34"/>
      <c r="AX230" s="34"/>
      <c r="AY230" s="34"/>
      <c r="AZ230" s="34"/>
    </row>
    <row r="231" spans="1:52" x14ac:dyDescent="0.35">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row>
    <row r="232" spans="1:52" x14ac:dyDescent="0.35">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row>
    <row r="233" spans="1:52" x14ac:dyDescent="0.35">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c r="AU233" s="34"/>
      <c r="AV233" s="34"/>
      <c r="AW233" s="34"/>
      <c r="AX233" s="34"/>
      <c r="AY233" s="34"/>
      <c r="AZ233" s="34"/>
    </row>
    <row r="234" spans="1:52" x14ac:dyDescent="0.35">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4"/>
      <c r="AW234" s="34"/>
      <c r="AX234" s="34"/>
      <c r="AY234" s="34"/>
      <c r="AZ234" s="34"/>
    </row>
    <row r="235" spans="1:52" x14ac:dyDescent="0.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34"/>
      <c r="AU235" s="34"/>
      <c r="AV235" s="34"/>
      <c r="AW235" s="34"/>
      <c r="AX235" s="34"/>
      <c r="AY235" s="34"/>
      <c r="AZ235" s="34"/>
    </row>
    <row r="236" spans="1:52" x14ac:dyDescent="0.35">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c r="AU236" s="34"/>
      <c r="AV236" s="34"/>
      <c r="AW236" s="34"/>
      <c r="AX236" s="34"/>
      <c r="AY236" s="34"/>
      <c r="AZ236" s="34"/>
    </row>
    <row r="237" spans="1:52" x14ac:dyDescent="0.35">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c r="AS237" s="34"/>
      <c r="AT237" s="34"/>
      <c r="AU237" s="34"/>
      <c r="AV237" s="34"/>
      <c r="AW237" s="34"/>
      <c r="AX237" s="34"/>
      <c r="AY237" s="34"/>
      <c r="AZ237" s="34"/>
    </row>
    <row r="238" spans="1:52" x14ac:dyDescent="0.35">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row>
    <row r="239" spans="1:52" x14ac:dyDescent="0.35">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c r="AU239" s="34"/>
      <c r="AV239" s="34"/>
      <c r="AW239" s="34"/>
      <c r="AX239" s="34"/>
      <c r="AY239" s="34"/>
      <c r="AZ239" s="34"/>
    </row>
    <row r="240" spans="1:52" x14ac:dyDescent="0.3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row>
    <row r="241" spans="1:52" x14ac:dyDescent="0.3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row>
    <row r="242" spans="1:52" x14ac:dyDescent="0.3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row>
    <row r="243" spans="1:52" x14ac:dyDescent="0.3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row>
    <row r="244" spans="1:52" x14ac:dyDescent="0.3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row>
    <row r="245" spans="1:52" x14ac:dyDescent="0.3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c r="AW245" s="34"/>
      <c r="AX245" s="34"/>
      <c r="AY245" s="34"/>
      <c r="AZ245" s="34"/>
    </row>
    <row r="246" spans="1:52" x14ac:dyDescent="0.3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c r="AU246" s="34"/>
      <c r="AV246" s="34"/>
      <c r="AW246" s="34"/>
      <c r="AX246" s="34"/>
      <c r="AY246" s="34"/>
      <c r="AZ246" s="34"/>
    </row>
    <row r="247" spans="1:52" x14ac:dyDescent="0.3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34"/>
      <c r="AU247" s="34"/>
      <c r="AV247" s="34"/>
      <c r="AW247" s="34"/>
      <c r="AX247" s="34"/>
      <c r="AY247" s="34"/>
      <c r="AZ247" s="34"/>
    </row>
    <row r="248" spans="1:52" x14ac:dyDescent="0.3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34"/>
      <c r="AU248" s="34"/>
      <c r="AV248" s="34"/>
      <c r="AW248" s="34"/>
      <c r="AX248" s="34"/>
      <c r="AY248" s="34"/>
      <c r="AZ248" s="34"/>
    </row>
    <row r="249" spans="1:52" x14ac:dyDescent="0.3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row>
    <row r="250" spans="1:52" x14ac:dyDescent="0.35">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row>
    <row r="251" spans="1:52" x14ac:dyDescent="0.35">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row>
    <row r="252" spans="1:52" x14ac:dyDescent="0.35">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row>
    <row r="253" spans="1:52" x14ac:dyDescent="0.35">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row>
    <row r="254" spans="1:52" x14ac:dyDescent="0.35">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34"/>
      <c r="AU254" s="34"/>
      <c r="AV254" s="34"/>
      <c r="AW254" s="34"/>
      <c r="AX254" s="34"/>
      <c r="AY254" s="34"/>
      <c r="AZ254" s="34"/>
    </row>
    <row r="255" spans="1:52" x14ac:dyDescent="0.3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row>
    <row r="256" spans="1:52" x14ac:dyDescent="0.35">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row>
    <row r="257" spans="1:52" x14ac:dyDescent="0.35">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row>
    <row r="258" spans="1:52" x14ac:dyDescent="0.35">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34"/>
      <c r="AW258" s="34"/>
      <c r="AX258" s="34"/>
      <c r="AY258" s="34"/>
      <c r="AZ258" s="34"/>
    </row>
    <row r="259" spans="1:52" x14ac:dyDescent="0.35">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34"/>
      <c r="AW259" s="34"/>
      <c r="AX259" s="34"/>
      <c r="AY259" s="34"/>
      <c r="AZ259" s="34"/>
    </row>
    <row r="260" spans="1:52" x14ac:dyDescent="0.35">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34"/>
      <c r="AW260" s="34"/>
      <c r="AX260" s="34"/>
      <c r="AY260" s="34"/>
      <c r="AZ260" s="34"/>
    </row>
    <row r="261" spans="1:52" x14ac:dyDescent="0.35">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row>
    <row r="262" spans="1:52" x14ac:dyDescent="0.35">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row>
    <row r="263" spans="1:52" x14ac:dyDescent="0.35">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34"/>
      <c r="AW263" s="34"/>
      <c r="AX263" s="34"/>
      <c r="AY263" s="34"/>
      <c r="AZ263" s="34"/>
    </row>
    <row r="264" spans="1:52" x14ac:dyDescent="0.35">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row>
    <row r="265" spans="1:52" x14ac:dyDescent="0.3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row>
    <row r="266" spans="1:52" x14ac:dyDescent="0.35">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row>
    <row r="267" spans="1:52" x14ac:dyDescent="0.35">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row>
    <row r="268" spans="1:52" x14ac:dyDescent="0.35">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row>
    <row r="269" spans="1:52" x14ac:dyDescent="0.35">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row>
    <row r="270" spans="1:52" x14ac:dyDescent="0.35">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row>
    <row r="271" spans="1:52" x14ac:dyDescent="0.35">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row>
    <row r="272" spans="1:52" x14ac:dyDescent="0.35">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row>
    <row r="273" spans="1:52" x14ac:dyDescent="0.35">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4"/>
      <c r="AW273" s="34"/>
      <c r="AX273" s="34"/>
      <c r="AY273" s="34"/>
      <c r="AZ273" s="34"/>
    </row>
    <row r="274" spans="1:52" x14ac:dyDescent="0.35">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34"/>
      <c r="AW274" s="34"/>
      <c r="AX274" s="34"/>
      <c r="AY274" s="34"/>
      <c r="AZ274" s="34"/>
    </row>
    <row r="275" spans="1:52" x14ac:dyDescent="0.3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row>
    <row r="276" spans="1:52" x14ac:dyDescent="0.35">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row>
    <row r="277" spans="1:52" x14ac:dyDescent="0.35">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34"/>
      <c r="AW277" s="34"/>
      <c r="AX277" s="34"/>
      <c r="AY277" s="34"/>
      <c r="AZ277" s="34"/>
    </row>
    <row r="278" spans="1:52" x14ac:dyDescent="0.35">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c r="AU278" s="34"/>
      <c r="AV278" s="34"/>
      <c r="AW278" s="34"/>
      <c r="AX278" s="34"/>
      <c r="AY278" s="34"/>
      <c r="AZ278" s="34"/>
    </row>
    <row r="279" spans="1:52" x14ac:dyDescent="0.35">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row>
    <row r="280" spans="1:52" x14ac:dyDescent="0.35">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c r="AU280" s="34"/>
      <c r="AV280" s="34"/>
      <c r="AW280" s="34"/>
      <c r="AX280" s="34"/>
      <c r="AY280" s="34"/>
      <c r="AZ280" s="34"/>
    </row>
    <row r="281" spans="1:52" x14ac:dyDescent="0.35">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34"/>
      <c r="AW281" s="34"/>
      <c r="AX281" s="34"/>
      <c r="AY281" s="34"/>
      <c r="AZ281" s="34"/>
    </row>
    <row r="282" spans="1:52" x14ac:dyDescent="0.35">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34"/>
      <c r="AW282" s="34"/>
      <c r="AX282" s="34"/>
      <c r="AY282" s="34"/>
      <c r="AZ282" s="34"/>
    </row>
    <row r="283" spans="1:52" x14ac:dyDescent="0.35">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row>
    <row r="284" spans="1:52" x14ac:dyDescent="0.35">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34"/>
      <c r="AW284" s="34"/>
      <c r="AX284" s="34"/>
      <c r="AY284" s="34"/>
      <c r="AZ284" s="34"/>
    </row>
    <row r="285" spans="1:52" x14ac:dyDescent="0.3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row>
    <row r="286" spans="1:52" x14ac:dyDescent="0.35">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row>
    <row r="287" spans="1:52" x14ac:dyDescent="0.35">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row>
    <row r="288" spans="1:52" x14ac:dyDescent="0.35">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34"/>
      <c r="AW288" s="34"/>
      <c r="AX288" s="34"/>
      <c r="AY288" s="34"/>
      <c r="AZ288" s="34"/>
    </row>
    <row r="289" spans="1:52" x14ac:dyDescent="0.35">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34"/>
      <c r="AW289" s="34"/>
      <c r="AX289" s="34"/>
      <c r="AY289" s="34"/>
      <c r="AZ289" s="34"/>
    </row>
    <row r="290" spans="1:52" x14ac:dyDescent="0.35">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row>
    <row r="291" spans="1:52" x14ac:dyDescent="0.35">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row>
    <row r="292" spans="1:52" x14ac:dyDescent="0.35">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row>
    <row r="293" spans="1:52" x14ac:dyDescent="0.35">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AW293" s="34"/>
      <c r="AX293" s="34"/>
      <c r="AY293" s="34"/>
      <c r="AZ293" s="34"/>
    </row>
    <row r="294" spans="1:52" x14ac:dyDescent="0.35">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row>
    <row r="295" spans="1:52" x14ac:dyDescent="0.3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34"/>
      <c r="AW295" s="34"/>
      <c r="AX295" s="34"/>
      <c r="AY295" s="34"/>
      <c r="AZ295" s="34"/>
    </row>
    <row r="296" spans="1:52" x14ac:dyDescent="0.35">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34"/>
      <c r="AW296" s="34"/>
      <c r="AX296" s="34"/>
      <c r="AY296" s="34"/>
      <c r="AZ296" s="34"/>
    </row>
    <row r="297" spans="1:52" x14ac:dyDescent="0.35">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AW297" s="34"/>
      <c r="AX297" s="34"/>
      <c r="AY297" s="34"/>
      <c r="AZ297" s="34"/>
    </row>
    <row r="298" spans="1:52" x14ac:dyDescent="0.35">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AW298" s="34"/>
      <c r="AX298" s="34"/>
      <c r="AY298" s="34"/>
      <c r="AZ298" s="34"/>
    </row>
    <row r="299" spans="1:52" x14ac:dyDescent="0.35">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AW299" s="34"/>
      <c r="AX299" s="34"/>
      <c r="AY299" s="34"/>
      <c r="AZ299" s="34"/>
    </row>
    <row r="300" spans="1:52" x14ac:dyDescent="0.35">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34"/>
      <c r="AW300" s="34"/>
      <c r="AX300" s="34"/>
      <c r="AY300" s="34"/>
      <c r="AZ300" s="34"/>
    </row>
  </sheetData>
  <conditionalFormatting sqref="B8:L22">
    <cfRule type="expression" dxfId="15" priority="4">
      <formula>$K8=1</formula>
    </cfRule>
  </conditionalFormatting>
  <conditionalFormatting sqref="F8:F22">
    <cfRule type="expression" dxfId="14" priority="3">
      <formula>N(F8)&gt;0</formula>
    </cfRule>
  </conditionalFormatting>
  <conditionalFormatting sqref="G8:G22">
    <cfRule type="colorScale" priority="2">
      <colorScale>
        <cfvo type="min"/>
        <cfvo type="percentile" val="50"/>
        <cfvo type="max"/>
        <color rgb="FFF8D7D8"/>
        <color rgb="FFFDF0D5"/>
        <color rgb="FFCDEFDD"/>
      </colorScale>
    </cfRule>
  </conditionalFormatting>
  <conditionalFormatting sqref="G27:G46">
    <cfRule type="dataBar" priority="5">
      <dataBar>
        <cfvo type="num" val="0"/>
        <cfvo type="num" val="1"/>
        <color rgb="FF2F9E6A"/>
      </dataBar>
      <extLst>
        <ext xmlns:x14="http://schemas.microsoft.com/office/spreadsheetml/2009/9/main" uri="{B025F937-C7B1-47D3-B67F-A62EFF666E3E}">
          <x14:id>{58E4BD87-9988-48F5-823F-C9CEC9D81E60}</x14:id>
        </ext>
      </extLst>
    </cfRule>
  </conditionalFormatting>
  <conditionalFormatting sqref="H27:H46">
    <cfRule type="expression" dxfId="13" priority="9">
      <formula>N(H27)&gt;0</formula>
    </cfRule>
  </conditionalFormatting>
  <conditionalFormatting sqref="I8:I22">
    <cfRule type="dataBar" priority="1">
      <dataBar>
        <cfvo type="num" val="0"/>
        <cfvo type="num" val="100"/>
        <color rgb="FF5B5BD6"/>
      </dataBar>
      <extLst>
        <ext xmlns:x14="http://schemas.microsoft.com/office/spreadsheetml/2009/9/main" uri="{B025F937-C7B1-47D3-B67F-A62EFF666E3E}">
          <x14:id>{AA81FB31-7CE0-4D6D-8E46-0EB8ACF81650}</x14:id>
        </ext>
      </extLst>
    </cfRule>
  </conditionalFormatting>
  <conditionalFormatting sqref="K27:K46">
    <cfRule type="expression" dxfId="12" priority="6">
      <formula>LEFT(K27,1)="⛔"</formula>
    </cfRule>
    <cfRule type="expression" dxfId="11" priority="7">
      <formula>LEFT(K27,1)="⚠"</formula>
    </cfRule>
    <cfRule type="expression" dxfId="10" priority="8">
      <formula>LEFT(K27,1)="✅"</formula>
    </cfRule>
  </conditionalFormatting>
  <hyperlinks>
    <hyperlink ref="U2" location="'Home'!A1" display="⌂  Home" xr:uid="{07D0B506-0739-444B-9EC6-2C2F09440E3F}"/>
  </hyperlinks>
  <pageMargins left="0.7" right="0.7" top="0.75" bottom="0.75" header="0.3" footer="0.3"/>
  <pageSetup scale="54" fitToHeight="0" orientation="landscape" r:id="rId1"/>
  <drawing r:id="rId2"/>
  <extLst>
    <ext xmlns:x14="http://schemas.microsoft.com/office/spreadsheetml/2009/9/main" uri="{78C0D931-6437-407d-A8EE-F0AAD7539E65}">
      <x14:conditionalFormattings>
        <x14:conditionalFormatting xmlns:xm="http://schemas.microsoft.com/office/excel/2006/main">
          <x14:cfRule type="dataBar" id="{58E4BD87-9988-48F5-823F-C9CEC9D81E60}">
            <x14:dataBar minLength="0" maxLength="100" gradient="0" negativeBarColorSameAsPositive="1" axisPosition="none">
              <x14:cfvo type="num">
                <xm:f>0</xm:f>
              </x14:cfvo>
              <x14:cfvo type="num">
                <xm:f>1</xm:f>
              </x14:cfvo>
            </x14:dataBar>
          </x14:cfRule>
          <xm:sqref>G27:G46</xm:sqref>
        </x14:conditionalFormatting>
        <x14:conditionalFormatting xmlns:xm="http://schemas.microsoft.com/office/excel/2006/main">
          <x14:cfRule type="dataBar" id="{AA81FB31-7CE0-4D6D-8E46-0EB8ACF81650}">
            <x14:dataBar minLength="0" maxLength="100" gradient="0" negativeBarColorSameAsPositive="1" axisPosition="none">
              <x14:cfvo type="num">
                <xm:f>0</xm:f>
              </x14:cfvo>
              <x14:cfvo type="num">
                <xm:f>100</xm:f>
              </x14:cfvo>
            </x14:dataBar>
          </x14:cfRule>
          <xm:sqref>I8:I22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56D96-8069-48A3-9734-25377D782A97}">
  <sheetPr>
    <tabColor rgb="FF2F9E6A"/>
  </sheetPr>
  <dimension ref="A1:P12"/>
  <sheetViews>
    <sheetView showGridLines="0" zoomScale="90" zoomScaleNormal="90" workbookViewId="0">
      <pane xSplit="2" ySplit="5" topLeftCell="C6" activePane="bottomRight" state="frozenSplit"/>
      <selection pane="topRight" activeCell="C1" sqref="C1"/>
      <selection pane="bottomLeft" activeCell="A6" sqref="A6"/>
      <selection pane="bottomRight" activeCell="J12" sqref="J12:O12"/>
    </sheetView>
  </sheetViews>
  <sheetFormatPr defaultRowHeight="15" x14ac:dyDescent="0.35"/>
  <cols>
    <col min="1" max="1" width="2.77734375" customWidth="1"/>
    <col min="2" max="2" width="24.77734375" customWidth="1"/>
    <col min="3" max="3" width="10" customWidth="1"/>
    <col min="4" max="4" width="15.77734375" customWidth="1"/>
    <col min="5" max="5" width="12.77734375" customWidth="1"/>
    <col min="6" max="6" width="13.5546875" customWidth="1"/>
    <col min="7" max="7" width="44.77734375" customWidth="1"/>
    <col min="8" max="8" width="15.77734375" customWidth="1"/>
    <col min="9" max="9" width="12.77734375" customWidth="1"/>
    <col min="10" max="11" width="8.77734375" customWidth="1"/>
    <col min="12" max="12" width="11.77734375" customWidth="1"/>
    <col min="13" max="13" width="10.44140625" customWidth="1"/>
    <col min="14" max="14" width="11.21875" customWidth="1"/>
    <col min="15" max="15" width="15.77734375" customWidth="1"/>
    <col min="16" max="16" width="3.77734375" customWidth="1"/>
  </cols>
  <sheetData>
    <row r="1" spans="1:16" ht="7.95" customHeight="1" x14ac:dyDescent="0.35">
      <c r="A1" s="1"/>
      <c r="B1" s="1"/>
      <c r="C1" s="1"/>
      <c r="D1" s="1"/>
      <c r="E1" s="1"/>
      <c r="F1" s="1"/>
      <c r="G1" s="1"/>
      <c r="H1" s="1"/>
      <c r="I1" s="1"/>
      <c r="J1" s="1"/>
      <c r="K1" s="1"/>
      <c r="L1" s="1"/>
      <c r="M1" s="1"/>
      <c r="N1" s="1"/>
      <c r="O1" s="1"/>
      <c r="P1" s="1"/>
    </row>
    <row r="2" spans="1:16" ht="34.049999999999997" customHeight="1" x14ac:dyDescent="0.35">
      <c r="A2" s="1"/>
      <c r="B2" s="2" t="s">
        <v>89</v>
      </c>
      <c r="C2" s="1"/>
      <c r="D2" s="1"/>
      <c r="E2" s="1"/>
      <c r="F2" s="1"/>
      <c r="G2" s="1"/>
      <c r="H2" s="1"/>
      <c r="I2" s="1"/>
      <c r="J2" s="1"/>
      <c r="K2" s="1"/>
      <c r="L2" s="1"/>
      <c r="M2" s="1"/>
      <c r="N2" s="1"/>
      <c r="O2" s="1"/>
      <c r="P2" s="4" t="s">
        <v>2</v>
      </c>
    </row>
    <row r="3" spans="1:16" ht="19.95" customHeight="1" x14ac:dyDescent="0.35">
      <c r="A3" s="1"/>
      <c r="B3" s="3" t="s">
        <v>90</v>
      </c>
      <c r="C3" s="1"/>
      <c r="D3" s="1"/>
      <c r="E3" s="1"/>
      <c r="F3" s="1"/>
      <c r="G3" s="1"/>
      <c r="H3" s="1"/>
      <c r="I3" s="1"/>
      <c r="J3" s="1"/>
      <c r="K3" s="1"/>
      <c r="L3" s="1"/>
      <c r="M3" s="1"/>
      <c r="N3" s="1"/>
      <c r="O3" s="1"/>
      <c r="P3" s="1"/>
    </row>
    <row r="4" spans="1:16" x14ac:dyDescent="0.35">
      <c r="B4" s="14" t="s">
        <v>121</v>
      </c>
    </row>
    <row r="5" spans="1:16" x14ac:dyDescent="0.35">
      <c r="B5" s="10" t="s">
        <v>91</v>
      </c>
      <c r="C5" s="10" t="s">
        <v>92</v>
      </c>
      <c r="D5" s="10" t="s">
        <v>93</v>
      </c>
      <c r="E5" s="10" t="s">
        <v>94</v>
      </c>
      <c r="F5" s="10" t="s">
        <v>95</v>
      </c>
      <c r="G5" s="10" t="s">
        <v>96</v>
      </c>
      <c r="H5" s="10" t="s">
        <v>97</v>
      </c>
      <c r="I5" s="10" t="s">
        <v>98</v>
      </c>
      <c r="J5" s="11" t="s">
        <v>99</v>
      </c>
      <c r="K5" s="11" t="s">
        <v>14</v>
      </c>
      <c r="L5" s="11" t="s">
        <v>100</v>
      </c>
      <c r="M5" s="11" t="s">
        <v>49</v>
      </c>
      <c r="N5" s="11" t="s">
        <v>101</v>
      </c>
      <c r="O5" s="11" t="s">
        <v>102</v>
      </c>
    </row>
    <row r="6" spans="1:16" x14ac:dyDescent="0.35">
      <c r="B6" s="6" t="s">
        <v>103</v>
      </c>
      <c r="C6" s="6" t="s">
        <v>104</v>
      </c>
      <c r="D6" s="6" t="s">
        <v>51</v>
      </c>
      <c r="E6" s="15">
        <v>46272</v>
      </c>
      <c r="F6" s="15">
        <v>46337</v>
      </c>
      <c r="G6" s="6" t="s">
        <v>105</v>
      </c>
      <c r="H6" s="6" t="s">
        <v>51</v>
      </c>
      <c r="I6" s="15">
        <v>46270</v>
      </c>
      <c r="J6" s="12">
        <f>COUNTIFS(tblTasks[Project],tblProjects[[#This Row],[Project]])</f>
        <v>9</v>
      </c>
      <c r="K6" s="12" cm="1">
        <f t="array" ref="K6">COUNTIFS(tblTasks[Project],tblProjects[[#This Row],[Project]],tblTasks[Status],DoneStatus)</f>
        <v>0</v>
      </c>
      <c r="L6" s="22">
        <f>IF(tblProjects[[#This Row],[Tasks]]=0,0,tblProjects[[#This Row],[Done]]/tblProjects[[#This Row],[Tasks]])</f>
        <v>0</v>
      </c>
      <c r="M6" s="12">
        <f ca="1">COUNTIFS(tblTasks[Project],tblProjects[[#This Row],[Project]],tblTasks[State],"Overdue")</f>
        <v>3</v>
      </c>
      <c r="N6" s="12">
        <f ca="1">IF(tblProjects[[#This Row],[Target Date]]="","",tblProjects[[#This Row],[Target Date]]-TODAY())</f>
        <v>25</v>
      </c>
      <c r="O6" s="12" t="str">
        <f ca="1">IF(tblProjects[[#This Row],[Project]]="","",IF(AND(tblProjects[[#This Row],[Tasks]]&gt;0,tblProjects[[#This Row],[Done]]=tblProjects[[#This Row],[Tasks]]),"🏁 Complete",_xlfn.LET(_xlpm.expected,IF(OR(tblProjects[[#This Row],[Start Date]]="",tblProjects[[#This Row],[Target Date]]="",N(tblProjects[[#This Row],[Target Date]])&lt;=N(tblProjects[[#This Row],[Start Date]])),0,MIN(1,MAX(0,(TODAY()-tblProjects[[#This Row],[Start Date]])/(tblProjects[[#This Row],[Target Date]]-tblProjects[[#This Row],[Start Date]])))),IF(OR(tblProjects[[#This Row],[Overdue]]&gt;=3,AND(ISNUMBER(tblProjects[[#This Row],[Days Left]]),N(tblProjects[[#This Row],[Days Left]])&lt;0)),"⛔ Off Track",IF(OR(tblProjects[[#This Row],[Overdue]]&gt;=1,tblProjects[[#This Row],[Progress]]&lt;_xlpm.expected-0.25),"⚠ At Risk","✅ On Track")))))</f>
        <v>⛔ Off Track</v>
      </c>
    </row>
    <row r="7" spans="1:16" x14ac:dyDescent="0.35">
      <c r="B7" s="7" t="s">
        <v>106</v>
      </c>
      <c r="C7" s="7" t="s">
        <v>107</v>
      </c>
      <c r="D7" s="7" t="s">
        <v>59</v>
      </c>
      <c r="E7" s="16">
        <v>46282</v>
      </c>
      <c r="F7" s="16">
        <v>46357</v>
      </c>
      <c r="G7" s="7" t="s">
        <v>108</v>
      </c>
      <c r="H7" s="7" t="s">
        <v>59</v>
      </c>
      <c r="I7" s="16">
        <v>46281</v>
      </c>
      <c r="J7" s="13">
        <f>COUNTIFS(tblTasks[Project],tblProjects[[#This Row],[Project]])</f>
        <v>8</v>
      </c>
      <c r="K7" s="13" cm="1">
        <f t="array" ref="K7">COUNTIFS(tblTasks[Project],tblProjects[[#This Row],[Project]],tblTasks[Status],DoneStatus)</f>
        <v>0</v>
      </c>
      <c r="L7" s="23">
        <f>IF(tblProjects[[#This Row],[Tasks]]=0,0,tblProjects[[#This Row],[Done]]/tblProjects[[#This Row],[Tasks]])</f>
        <v>0</v>
      </c>
      <c r="M7" s="13">
        <f ca="1">COUNTIFS(tblTasks[Project],tblProjects[[#This Row],[Project]],tblTasks[State],"Overdue")</f>
        <v>3</v>
      </c>
      <c r="N7" s="13">
        <f ca="1">IF(tblProjects[[#This Row],[Target Date]]="","",tblProjects[[#This Row],[Target Date]]-TODAY())</f>
        <v>45</v>
      </c>
      <c r="O7" s="13" t="str">
        <f ca="1">IF(tblProjects[[#This Row],[Project]]="","",IF(AND(tblProjects[[#This Row],[Tasks]]&gt;0,tblProjects[[#This Row],[Done]]=tblProjects[[#This Row],[Tasks]]),"🏁 Complete",_xlfn.LET(_xlpm.expected,IF(OR(tblProjects[[#This Row],[Start Date]]="",tblProjects[[#This Row],[Target Date]]="",N(tblProjects[[#This Row],[Target Date]])&lt;=N(tblProjects[[#This Row],[Start Date]])),0,MIN(1,MAX(0,(TODAY()-tblProjects[[#This Row],[Start Date]])/(tblProjects[[#This Row],[Target Date]]-tblProjects[[#This Row],[Start Date]])))),IF(OR(tblProjects[[#This Row],[Overdue]]&gt;=3,AND(ISNUMBER(tblProjects[[#This Row],[Days Left]]),N(tblProjects[[#This Row],[Days Left]])&lt;0)),"⛔ Off Track",IF(OR(tblProjects[[#This Row],[Overdue]]&gt;=1,tblProjects[[#This Row],[Progress]]&lt;_xlpm.expected-0.25),"⚠ At Risk","✅ On Track")))))</f>
        <v>⛔ Off Track</v>
      </c>
    </row>
    <row r="8" spans="1:16" x14ac:dyDescent="0.35">
      <c r="B8" s="7" t="s">
        <v>109</v>
      </c>
      <c r="C8" s="7" t="s">
        <v>110</v>
      </c>
      <c r="D8" s="7" t="s">
        <v>55</v>
      </c>
      <c r="E8" s="16">
        <v>46252</v>
      </c>
      <c r="F8" s="16">
        <v>46322</v>
      </c>
      <c r="G8" s="7" t="s">
        <v>111</v>
      </c>
      <c r="H8" s="7" t="s">
        <v>55</v>
      </c>
      <c r="I8" s="16">
        <v>46251</v>
      </c>
      <c r="J8" s="13">
        <f>COUNTIFS(tblTasks[Project],tblProjects[[#This Row],[Project]])</f>
        <v>8</v>
      </c>
      <c r="K8" s="13" cm="1">
        <f t="array" ref="K8">COUNTIFS(tblTasks[Project],tblProjects[[#This Row],[Project]],tblTasks[Status],DoneStatus)</f>
        <v>0</v>
      </c>
      <c r="L8" s="23">
        <f>IF(tblProjects[[#This Row],[Tasks]]=0,0,tblProjects[[#This Row],[Done]]/tblProjects[[#This Row],[Tasks]])</f>
        <v>0</v>
      </c>
      <c r="M8" s="13">
        <f ca="1">COUNTIFS(tblTasks[Project],tblProjects[[#This Row],[Project]],tblTasks[State],"Overdue")</f>
        <v>3</v>
      </c>
      <c r="N8" s="13">
        <f ca="1">IF(tblProjects[[#This Row],[Target Date]]="","",tblProjects[[#This Row],[Target Date]]-TODAY())</f>
        <v>10</v>
      </c>
      <c r="O8" s="13" t="str">
        <f ca="1">IF(tblProjects[[#This Row],[Project]]="","",IF(AND(tblProjects[[#This Row],[Tasks]]&gt;0,tblProjects[[#This Row],[Done]]=tblProjects[[#This Row],[Tasks]]),"🏁 Complete",_xlfn.LET(_xlpm.expected,IF(OR(tblProjects[[#This Row],[Start Date]]="",tblProjects[[#This Row],[Target Date]]="",N(tblProjects[[#This Row],[Target Date]])&lt;=N(tblProjects[[#This Row],[Start Date]])),0,MIN(1,MAX(0,(TODAY()-tblProjects[[#This Row],[Start Date]])/(tblProjects[[#This Row],[Target Date]]-tblProjects[[#This Row],[Start Date]])))),IF(OR(tblProjects[[#This Row],[Overdue]]&gt;=3,AND(ISNUMBER(tblProjects[[#This Row],[Days Left]]),N(tblProjects[[#This Row],[Days Left]])&lt;0)),"⛔ Off Track",IF(OR(tblProjects[[#This Row],[Overdue]]&gt;=1,tblProjects[[#This Row],[Progress]]&lt;_xlpm.expected-0.25),"⚠ At Risk","✅ On Track")))))</f>
        <v>⛔ Off Track</v>
      </c>
    </row>
    <row r="9" spans="1:16" x14ac:dyDescent="0.35">
      <c r="B9" s="7" t="s">
        <v>112</v>
      </c>
      <c r="C9" s="7" t="s">
        <v>113</v>
      </c>
      <c r="D9" s="7" t="s">
        <v>67</v>
      </c>
      <c r="E9" s="16">
        <v>46292</v>
      </c>
      <c r="F9" s="16">
        <v>46372</v>
      </c>
      <c r="G9" s="7" t="s">
        <v>114</v>
      </c>
      <c r="H9" s="7" t="s">
        <v>67</v>
      </c>
      <c r="I9" s="16">
        <v>46292</v>
      </c>
      <c r="J9" s="13">
        <f>COUNTIFS(tblTasks[Project],tblProjects[[#This Row],[Project]])</f>
        <v>6</v>
      </c>
      <c r="K9" s="13" cm="1">
        <f t="array" ref="K9">COUNTIFS(tblTasks[Project],tblProjects[[#This Row],[Project]],tblTasks[Status],DoneStatus)</f>
        <v>0</v>
      </c>
      <c r="L9" s="23">
        <f>IF(tblProjects[[#This Row],[Tasks]]=0,0,tblProjects[[#This Row],[Done]]/tblProjects[[#This Row],[Tasks]])</f>
        <v>0</v>
      </c>
      <c r="M9" s="13">
        <f ca="1">COUNTIFS(tblTasks[Project],tblProjects[[#This Row],[Project]],tblTasks[State],"Overdue")</f>
        <v>1</v>
      </c>
      <c r="N9" s="13">
        <f ca="1">IF(tblProjects[[#This Row],[Target Date]]="","",tblProjects[[#This Row],[Target Date]]-TODAY())</f>
        <v>60</v>
      </c>
      <c r="O9" s="13" t="str">
        <f ca="1">IF(tblProjects[[#This Row],[Project]]="","",IF(AND(tblProjects[[#This Row],[Tasks]]&gt;0,tblProjects[[#This Row],[Done]]=tblProjects[[#This Row],[Tasks]]),"🏁 Complete",_xlfn.LET(_xlpm.expected,IF(OR(tblProjects[[#This Row],[Start Date]]="",tblProjects[[#This Row],[Target Date]]="",N(tblProjects[[#This Row],[Target Date]])&lt;=N(tblProjects[[#This Row],[Start Date]])),0,MIN(1,MAX(0,(TODAY()-tblProjects[[#This Row],[Start Date]])/(tblProjects[[#This Row],[Target Date]]-tblProjects[[#This Row],[Start Date]])))),IF(OR(tblProjects[[#This Row],[Overdue]]&gt;=3,AND(ISNUMBER(tblProjects[[#This Row],[Days Left]]),N(tblProjects[[#This Row],[Days Left]])&lt;0)),"⛔ Off Track",IF(OR(tblProjects[[#This Row],[Overdue]]&gt;=1,tblProjects[[#This Row],[Progress]]&lt;_xlpm.expected-0.25),"⚠ At Risk","✅ On Track")))))</f>
        <v>⚠ At Risk</v>
      </c>
    </row>
    <row r="10" spans="1:16" x14ac:dyDescent="0.35">
      <c r="B10" s="7" t="s">
        <v>115</v>
      </c>
      <c r="C10" s="7" t="s">
        <v>116</v>
      </c>
      <c r="D10" s="7" t="s">
        <v>51</v>
      </c>
      <c r="E10" s="16">
        <v>46222</v>
      </c>
      <c r="F10" s="16">
        <v>46402</v>
      </c>
      <c r="G10" s="7" t="s">
        <v>117</v>
      </c>
      <c r="H10" s="7" t="s">
        <v>51</v>
      </c>
      <c r="I10" s="16">
        <v>46222</v>
      </c>
      <c r="J10" s="13">
        <f>COUNTIFS(tblTasks[Project],tblProjects[[#This Row],[Project]])</f>
        <v>6</v>
      </c>
      <c r="K10" s="13" cm="1">
        <f t="array" ref="K10">COUNTIFS(tblTasks[Project],tblProjects[[#This Row],[Project]],tblTasks[Status],DoneStatus)</f>
        <v>0</v>
      </c>
      <c r="L10" s="23">
        <f>IF(tblProjects[[#This Row],[Tasks]]=0,0,tblProjects[[#This Row],[Done]]/tblProjects[[#This Row],[Tasks]])</f>
        <v>0</v>
      </c>
      <c r="M10" s="13">
        <f ca="1">COUNTIFS(tblTasks[Project],tblProjects[[#This Row],[Project]],tblTasks[State],"Overdue")</f>
        <v>3</v>
      </c>
      <c r="N10" s="13">
        <f ca="1">IF(tblProjects[[#This Row],[Target Date]]="","",tblProjects[[#This Row],[Target Date]]-TODAY())</f>
        <v>90</v>
      </c>
      <c r="O10" s="13" t="str">
        <f ca="1">IF(tblProjects[[#This Row],[Project]]="","",IF(AND(tblProjects[[#This Row],[Tasks]]&gt;0,tblProjects[[#This Row],[Done]]=tblProjects[[#This Row],[Tasks]]),"🏁 Complete",_xlfn.LET(_xlpm.expected,IF(OR(tblProjects[[#This Row],[Start Date]]="",tblProjects[[#This Row],[Target Date]]="",N(tblProjects[[#This Row],[Target Date]])&lt;=N(tblProjects[[#This Row],[Start Date]])),0,MIN(1,MAX(0,(TODAY()-tblProjects[[#This Row],[Start Date]])/(tblProjects[[#This Row],[Target Date]]-tblProjects[[#This Row],[Start Date]])))),IF(OR(tblProjects[[#This Row],[Overdue]]&gt;=3,AND(ISNUMBER(tblProjects[[#This Row],[Days Left]]),N(tblProjects[[#This Row],[Days Left]])&lt;0)),"⛔ Off Track",IF(OR(tblProjects[[#This Row],[Overdue]]&gt;=1,tblProjects[[#This Row],[Progress]]&lt;_xlpm.expected-0.25),"⚠ At Risk","✅ On Track")))))</f>
        <v>⛔ Off Track</v>
      </c>
    </row>
    <row r="11" spans="1:16" x14ac:dyDescent="0.35">
      <c r="B11" s="7" t="s">
        <v>118</v>
      </c>
      <c r="C11" s="7" t="s">
        <v>119</v>
      </c>
      <c r="D11" s="7" t="s">
        <v>71</v>
      </c>
      <c r="E11" s="16">
        <v>46311</v>
      </c>
      <c r="F11" s="16">
        <v>46382</v>
      </c>
      <c r="G11" s="7" t="s">
        <v>120</v>
      </c>
      <c r="H11" s="7" t="s">
        <v>51</v>
      </c>
      <c r="I11" s="16">
        <v>46312</v>
      </c>
      <c r="J11" s="13">
        <f>COUNTIFS(tblTasks[Project],tblProjects[[#This Row],[Project]])</f>
        <v>3</v>
      </c>
      <c r="K11" s="13" cm="1">
        <f t="array" ref="K11">COUNTIFS(tblTasks[Project],tblProjects[[#This Row],[Project]],tblTasks[Status],DoneStatus)</f>
        <v>0</v>
      </c>
      <c r="L11" s="23">
        <f>IF(tblProjects[[#This Row],[Tasks]]=0,0,tblProjects[[#This Row],[Done]]/tblProjects[[#This Row],[Tasks]])</f>
        <v>0</v>
      </c>
      <c r="M11" s="13">
        <f ca="1">COUNTIFS(tblTasks[Project],tblProjects[[#This Row],[Project]],tblTasks[State],"Overdue")</f>
        <v>0</v>
      </c>
      <c r="N11" s="13">
        <f ca="1">IF(tblProjects[[#This Row],[Target Date]]="","",tblProjects[[#This Row],[Target Date]]-TODAY())</f>
        <v>70</v>
      </c>
      <c r="O11" s="13" t="str">
        <f ca="1">IF(tblProjects[[#This Row],[Project]]="","",IF(AND(tblProjects[[#This Row],[Tasks]]&gt;0,tblProjects[[#This Row],[Done]]=tblProjects[[#This Row],[Tasks]]),"🏁 Complete",_xlfn.LET(_xlpm.expected,IF(OR(tblProjects[[#This Row],[Start Date]]="",tblProjects[[#This Row],[Target Date]]="",N(tblProjects[[#This Row],[Target Date]])&lt;=N(tblProjects[[#This Row],[Start Date]])),0,MIN(1,MAX(0,(TODAY()-tblProjects[[#This Row],[Start Date]])/(tblProjects[[#This Row],[Target Date]]-tblProjects[[#This Row],[Start Date]])))),IF(OR(tblProjects[[#This Row],[Overdue]]&gt;=3,AND(ISNUMBER(tblProjects[[#This Row],[Days Left]]),N(tblProjects[[#This Row],[Days Left]])&lt;0)),"⛔ Off Track",IF(OR(tblProjects[[#This Row],[Overdue]]&gt;=1,tblProjects[[#This Row],[Progress]]&lt;_xlpm.expected-0.25),"⚠ At Risk","✅ On Track")))))</f>
        <v>✅ On Track</v>
      </c>
    </row>
    <row r="12" spans="1:16" x14ac:dyDescent="0.35">
      <c r="B12" s="164" t="s">
        <v>344</v>
      </c>
      <c r="C12" s="164" t="s">
        <v>345</v>
      </c>
      <c r="D12" s="164" t="s">
        <v>67</v>
      </c>
      <c r="E12" s="165">
        <v>46312</v>
      </c>
      <c r="F12" s="165">
        <v>46404</v>
      </c>
      <c r="G12" s="164" t="s">
        <v>346</v>
      </c>
      <c r="H12" s="164" t="s">
        <v>63</v>
      </c>
      <c r="I12" s="165">
        <v>46312</v>
      </c>
      <c r="J12" s="166">
        <f>COUNTIFS(tblTasks[Project],tblProjects[[#This Row],[Project]])</f>
        <v>1</v>
      </c>
      <c r="K12" s="166" cm="1">
        <f t="array" ref="K12">COUNTIFS(tblTasks[Project],tblProjects[[#This Row],[Project]],tblTasks[Status],DoneStatus)</f>
        <v>0</v>
      </c>
      <c r="L12" s="167">
        <f>IF(tblProjects[[#This Row],[Tasks]]=0,0,tblProjects[[#This Row],[Done]]/tblProjects[[#This Row],[Tasks]])</f>
        <v>0</v>
      </c>
      <c r="M12" s="166">
        <f ca="1">COUNTIFS(tblTasks[Project],tblProjects[[#This Row],[Project]],tblTasks[State],"Overdue")</f>
        <v>0</v>
      </c>
      <c r="N12" s="166">
        <f ca="1">IF(tblProjects[[#This Row],[Target Date]]="","",tblProjects[[#This Row],[Target Date]]-TODAY())</f>
        <v>92</v>
      </c>
      <c r="O12" s="166" t="str">
        <f ca="1">IF(tblProjects[[#This Row],[Project]]="","",IF(AND(tblProjects[[#This Row],[Tasks]]&gt;0,tblProjects[[#This Row],[Done]]=tblProjects[[#This Row],[Tasks]]),"🏁 Complete",_xlfn.LET(_xlpm.expected,IF(OR(tblProjects[[#This Row],[Start Date]]="",tblProjects[[#This Row],[Target Date]]="",N(tblProjects[[#This Row],[Target Date]])&lt;=N(tblProjects[[#This Row],[Start Date]])),0,MIN(1,MAX(0,(TODAY()-tblProjects[[#This Row],[Start Date]])/(tblProjects[[#This Row],[Target Date]]-tblProjects[[#This Row],[Start Date]])))),IF(OR(tblProjects[[#This Row],[Overdue]]&gt;=3,AND(ISNUMBER(tblProjects[[#This Row],[Days Left]]),N(tblProjects[[#This Row],[Days Left]])&lt;0)),"⛔ Off Track",IF(OR(tblProjects[[#This Row],[Overdue]]&gt;=1,tblProjects[[#This Row],[Progress]]&lt;_xlpm.expected-0.25),"⚠ At Risk","✅ On Track")))))</f>
        <v>✅ On Track</v>
      </c>
    </row>
  </sheetData>
  <conditionalFormatting sqref="L6:L12">
    <cfRule type="dataBar" priority="1">
      <dataBar>
        <cfvo type="num" val="0"/>
        <cfvo type="num" val="1"/>
        <color rgb="FF2F9E6A"/>
      </dataBar>
      <extLst>
        <ext xmlns:x14="http://schemas.microsoft.com/office/spreadsheetml/2009/9/main" uri="{B025F937-C7B1-47D3-B67F-A62EFF666E3E}">
          <x14:id>{5CF0B9EC-A93F-474D-AD75-CACC9E7D16A2}</x14:id>
        </ext>
      </extLst>
    </cfRule>
  </conditionalFormatting>
  <conditionalFormatting sqref="O6:O12">
    <cfRule type="expression" dxfId="2" priority="2">
      <formula>LEFT(O6,1)="⛔"</formula>
    </cfRule>
    <cfRule type="expression" dxfId="1" priority="3">
      <formula>LEFT(O6,1)="⚠"</formula>
    </cfRule>
    <cfRule type="expression" dxfId="0" priority="4">
      <formula>LEFT(O6,1)="✅"</formula>
    </cfRule>
  </conditionalFormatting>
  <dataValidations count="1">
    <dataValidation type="list" allowBlank="1" showInputMessage="1" showErrorMessage="1" sqref="D6:D12 H6:H12" xr:uid="{C54E07B1-4F6B-4170-AA9A-08F822068C9C}">
      <formula1>lstMembers</formula1>
    </dataValidation>
  </dataValidations>
  <hyperlinks>
    <hyperlink ref="P2" location="'Home'!A1" display="⌂  Home" xr:uid="{BA85E140-ACF1-47D3-B8DA-F53242FDB154}"/>
  </hyperlinks>
  <pageMargins left="0.7" right="0.7" top="0.75" bottom="0.75" header="0.3" footer="0.3"/>
  <pageSetup orientation="landscape"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CF0B9EC-A93F-474D-AD75-CACC9E7D16A2}">
            <x14:dataBar minLength="0" maxLength="100" gradient="0" negativeBarColorSameAsPositive="1" axisPosition="none">
              <x14:cfvo type="num">
                <xm:f>0</xm:f>
              </x14:cfvo>
              <x14:cfvo type="num">
                <xm:f>1</xm:f>
              </x14:cfvo>
            </x14:dataBar>
          </x14:cfRule>
          <xm:sqref>L6:L12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BCAE0-9B56-47A1-9E8C-ACFE0C826E33}">
  <sheetPr>
    <tabColor rgb="FF2F9E6A"/>
  </sheetPr>
  <dimension ref="A1:W47"/>
  <sheetViews>
    <sheetView showGridLines="0" zoomScale="90" zoomScaleNormal="90" workbookViewId="0">
      <pane xSplit="3" ySplit="6" topLeftCell="D34" activePane="bottomRight" state="frozenSplit"/>
      <selection pane="topRight" activeCell="D1" sqref="D1"/>
      <selection pane="bottomLeft" activeCell="A7" sqref="A7"/>
      <selection pane="bottomRight" activeCell="G48" sqref="G48"/>
    </sheetView>
  </sheetViews>
  <sheetFormatPr defaultRowHeight="15" x14ac:dyDescent="0.35"/>
  <cols>
    <col min="1" max="1" width="2.77734375" customWidth="1"/>
    <col min="2" max="2" width="7.77734375" customWidth="1"/>
    <col min="3" max="3" width="34.77734375" customWidth="1"/>
    <col min="4" max="4" width="21.77734375" customWidth="1"/>
    <col min="5" max="5" width="14.77734375" customWidth="1"/>
    <col min="6" max="6" width="12.77734375" customWidth="1"/>
    <col min="7" max="7" width="9.77734375" customWidth="1"/>
    <col min="8" max="8" width="12.109375" customWidth="1"/>
    <col min="9" max="9" width="11.77734375" customWidth="1"/>
    <col min="10" max="10" width="10.44140625" customWidth="1"/>
    <col min="11" max="11" width="16.77734375" customWidth="1"/>
    <col min="12" max="12" width="26.77734375" customWidth="1"/>
    <col min="13" max="13" width="14.77734375" customWidth="1"/>
    <col min="14" max="14" width="12" customWidth="1"/>
    <col min="15" max="15" width="15.88671875" customWidth="1"/>
    <col min="16" max="16" width="11.21875" customWidth="1"/>
    <col min="17" max="17" width="10.77734375" customWidth="1"/>
    <col min="18" max="18" width="10.44140625" customWidth="1"/>
    <col min="19" max="19" width="30.77734375" hidden="1" customWidth="1"/>
    <col min="20" max="20" width="9.88671875" hidden="1" customWidth="1"/>
    <col min="21" max="21" width="9.77734375" hidden="1" customWidth="1"/>
    <col min="22" max="22" width="8.77734375" hidden="1" customWidth="1"/>
    <col min="23" max="23" width="3.77734375" customWidth="1"/>
  </cols>
  <sheetData>
    <row r="1" spans="1:23" ht="7.95" customHeight="1" x14ac:dyDescent="0.35">
      <c r="A1" s="1"/>
      <c r="B1" s="1"/>
      <c r="C1" s="1"/>
      <c r="D1" s="1"/>
      <c r="E1" s="1"/>
      <c r="F1" s="1"/>
      <c r="G1" s="1"/>
      <c r="H1" s="1"/>
      <c r="I1" s="1"/>
      <c r="J1" s="1"/>
      <c r="K1" s="1"/>
      <c r="L1" s="1"/>
      <c r="M1" s="1"/>
      <c r="N1" s="1"/>
      <c r="O1" s="1"/>
      <c r="P1" s="1"/>
      <c r="Q1" s="1"/>
      <c r="R1" s="1"/>
      <c r="S1" s="1"/>
      <c r="T1" s="1"/>
      <c r="U1" s="1"/>
      <c r="V1" s="1"/>
      <c r="W1" s="1"/>
    </row>
    <row r="2" spans="1:23" ht="34.049999999999997" customHeight="1" x14ac:dyDescent="0.35">
      <c r="A2" s="1"/>
      <c r="B2" s="2" t="s">
        <v>99</v>
      </c>
      <c r="C2" s="1"/>
      <c r="D2" s="1"/>
      <c r="E2" s="1"/>
      <c r="F2" s="1"/>
      <c r="G2" s="1"/>
      <c r="H2" s="1"/>
      <c r="I2" s="1"/>
      <c r="J2" s="1"/>
      <c r="K2" s="1"/>
      <c r="L2" s="1"/>
      <c r="M2" s="1"/>
      <c r="N2" s="1"/>
      <c r="O2" s="1"/>
      <c r="P2" s="1"/>
      <c r="Q2" s="1"/>
      <c r="R2" s="1"/>
      <c r="S2" s="1"/>
      <c r="T2" s="1"/>
      <c r="U2" s="1"/>
      <c r="V2" s="1"/>
      <c r="W2" s="4" t="s">
        <v>2</v>
      </c>
    </row>
    <row r="3" spans="1:23" ht="19.95" customHeight="1" x14ac:dyDescent="0.35">
      <c r="A3" s="1"/>
      <c r="B3" s="3" t="s">
        <v>122</v>
      </c>
      <c r="C3" s="1"/>
      <c r="D3" s="1"/>
      <c r="E3" s="1"/>
      <c r="F3" s="1"/>
      <c r="G3" s="1"/>
      <c r="H3" s="1"/>
      <c r="I3" s="1"/>
      <c r="J3" s="1"/>
      <c r="K3" s="1"/>
      <c r="L3" s="1"/>
      <c r="M3" s="1"/>
      <c r="N3" s="1"/>
      <c r="O3" s="1"/>
      <c r="P3" s="1"/>
      <c r="Q3" s="1"/>
      <c r="R3" s="1"/>
      <c r="S3" s="1"/>
      <c r="T3" s="1"/>
      <c r="U3" s="1"/>
      <c r="V3" s="1"/>
      <c r="W3" s="1"/>
    </row>
    <row r="4" spans="1:23" x14ac:dyDescent="0.35">
      <c r="B4" s="14" t="s">
        <v>202</v>
      </c>
    </row>
    <row r="5" spans="1:23" x14ac:dyDescent="0.35">
      <c r="C5" s="17" t="s">
        <v>203</v>
      </c>
      <c r="D5" s="17" t="s">
        <v>204</v>
      </c>
    </row>
    <row r="6" spans="1:23" x14ac:dyDescent="0.35">
      <c r="B6" s="11" t="s">
        <v>123</v>
      </c>
      <c r="C6" s="10" t="s">
        <v>124</v>
      </c>
      <c r="D6" s="10" t="s">
        <v>91</v>
      </c>
      <c r="E6" s="10" t="s">
        <v>93</v>
      </c>
      <c r="F6" s="10" t="s">
        <v>4</v>
      </c>
      <c r="G6" s="10" t="s">
        <v>18</v>
      </c>
      <c r="H6" s="10" t="s">
        <v>94</v>
      </c>
      <c r="I6" s="10" t="s">
        <v>125</v>
      </c>
      <c r="J6" s="10" t="s">
        <v>100</v>
      </c>
      <c r="K6" s="10" t="s">
        <v>126</v>
      </c>
      <c r="L6" s="10" t="s">
        <v>127</v>
      </c>
      <c r="M6" s="10" t="s">
        <v>97</v>
      </c>
      <c r="N6" s="10" t="s">
        <v>98</v>
      </c>
      <c r="O6" s="10" t="s">
        <v>128</v>
      </c>
      <c r="P6" s="11" t="s">
        <v>101</v>
      </c>
      <c r="Q6" s="11" t="s">
        <v>129</v>
      </c>
      <c r="R6" s="11" t="s">
        <v>130</v>
      </c>
      <c r="S6" s="11" t="s">
        <v>131</v>
      </c>
      <c r="T6" s="11" t="s">
        <v>132</v>
      </c>
      <c r="U6" s="11" t="s">
        <v>133</v>
      </c>
      <c r="V6" s="11" t="s">
        <v>134</v>
      </c>
    </row>
    <row r="7" spans="1:23" x14ac:dyDescent="0.35">
      <c r="B7" s="12" t="str">
        <f>"T-"&amp;TEXT(ROW()-ROW(tblTasks[[#Headers],[ID]]),"000")</f>
        <v>T-001</v>
      </c>
      <c r="C7" s="30" t="s">
        <v>135</v>
      </c>
      <c r="D7" s="6" t="s">
        <v>103</v>
      </c>
      <c r="E7" s="6" t="s">
        <v>75</v>
      </c>
      <c r="F7" s="6" t="s">
        <v>14</v>
      </c>
      <c r="G7" s="6" t="s">
        <v>21</v>
      </c>
      <c r="H7" s="15">
        <v>46275</v>
      </c>
      <c r="I7" s="15">
        <v>46300</v>
      </c>
      <c r="J7" s="24">
        <v>1</v>
      </c>
      <c r="K7" s="6" t="s">
        <v>136</v>
      </c>
      <c r="L7" s="6"/>
      <c r="M7" s="6" t="s">
        <v>51</v>
      </c>
      <c r="N7" s="15">
        <v>46274</v>
      </c>
      <c r="O7" s="15">
        <v>46299</v>
      </c>
      <c r="P7" s="28" cm="1">
        <f t="array" aca="1" ref="P7" ca="1">IF(OR(tblTasks[[#This Row],[Task]]="",tblTasks[[#This Row],[Due Date]]="",tblTasks[[#This Row],[Status]]=DoneStatus),"",tblTasks[[#This Row],[Due Date]]-TODAY())</f>
        <v>-12</v>
      </c>
      <c r="Q7" s="12" t="str" cm="1">
        <f t="array" aca="1" ref="Q7" ca="1">IF(tblTasks[[#This Row],[Task]]="","",IF(tblTasks[[#This Row],[Status]]=DoneStatus,"Done",IF(tblTasks[[#This Row],[Due Date]]="","No date",IF(tblTasks[[#This Row],[Due Date]]&lt;TODAY(),"Overdue",IF(tblTasks[[#This Row],[Due Date]]-TODAY()&lt;=7,"Due soon","On track")))))</f>
        <v>Overdue</v>
      </c>
      <c r="R7" s="26" t="str" cm="1">
        <f t="array" ref="R7">IF(OR(tblTasks[[#This Row],[Status]]&lt;&gt;DoneStatus,tblTasks[[#This Row],[Completed On]]="",tblTasks[[#This Row],[Due Date]]=""),"",IF(tblTasks[[#This Row],[Completed On]]&lt;=tblTasks[[#This Row],[Due Date]],1,0))</f>
        <v/>
      </c>
      <c r="S7" s="12" t="str" cm="1">
        <f t="array" aca="1" ref="S7"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Finalize homepage wireframes
👤 Nora Fischer    📅 5 Oct
⚠ OVERDUE   [WEB]   #design   · 100% done</v>
      </c>
      <c r="T7" s="12">
        <f>IFERROR(MATCH(tblTasks[[#This Row],[Priority]],lstPriority,0),9)*100000+IF(tblTasks[[#This Row],[Due Date]]="",99999,tblTasks[[#This Row],[Due Date]]-DATE(2000,1,1))</f>
        <v>209774</v>
      </c>
      <c r="U7" s="12">
        <f>IF(tblTasks[[#This Row],[Due Date]]="",99999999,tblTasks[[#This Row],[Due Date]])</f>
        <v>46300</v>
      </c>
      <c r="V7" s="12">
        <f>SUBTOTAL(103,tblTasks[[#This Row],[Task]])</f>
        <v>1</v>
      </c>
    </row>
    <row r="8" spans="1:23" x14ac:dyDescent="0.35">
      <c r="B8" s="13" t="str">
        <f>"T-"&amp;TEXT(ROW()-ROW(tblTasks[[#Headers],[ID]]),"000")</f>
        <v>T-002</v>
      </c>
      <c r="C8" s="31" t="s">
        <v>137</v>
      </c>
      <c r="D8" s="7" t="s">
        <v>103</v>
      </c>
      <c r="E8" s="7" t="s">
        <v>79</v>
      </c>
      <c r="F8" s="7" t="s">
        <v>8</v>
      </c>
      <c r="G8" s="7" t="s">
        <v>21</v>
      </c>
      <c r="H8" s="16">
        <v>46288</v>
      </c>
      <c r="I8" s="16">
        <v>46315</v>
      </c>
      <c r="J8" s="25">
        <v>0.6</v>
      </c>
      <c r="K8" s="7" t="s">
        <v>138</v>
      </c>
      <c r="L8" s="7"/>
      <c r="M8" s="7" t="s">
        <v>51</v>
      </c>
      <c r="N8" s="16">
        <v>46287</v>
      </c>
      <c r="O8" s="16"/>
      <c r="P8" s="29" cm="1">
        <f t="array" aca="1" ref="P8" ca="1">IF(OR(tblTasks[[#This Row],[Task]]="",tblTasks[[#This Row],[Due Date]]="",tblTasks[[#This Row],[Status]]=DoneStatus),"",tblTasks[[#This Row],[Due Date]]-TODAY())</f>
        <v>3</v>
      </c>
      <c r="Q8" s="13" t="str" cm="1">
        <f t="array" aca="1" ref="Q8" ca="1">IF(tblTasks[[#This Row],[Task]]="","",IF(tblTasks[[#This Row],[Status]]=DoneStatus,"Done",IF(tblTasks[[#This Row],[Due Date]]="","No date",IF(tblTasks[[#This Row],[Due Date]]&lt;TODAY(),"Overdue",IF(tblTasks[[#This Row],[Due Date]]-TODAY()&lt;=7,"Due soon","On track")))))</f>
        <v>Due soon</v>
      </c>
      <c r="R8" s="27" t="str" cm="1">
        <f t="array" ref="R8">IF(OR(tblTasks[[#This Row],[Status]]&lt;&gt;DoneStatus,tblTasks[[#This Row],[Completed On]]="",tblTasks[[#This Row],[Due Date]]=""),"",IF(tblTasks[[#This Row],[Completed On]]&lt;=tblTasks[[#This Row],[Due Date]],1,0))</f>
        <v/>
      </c>
      <c r="S8" s="13" t="str" cm="1">
        <f t="array" aca="1" ref="S8"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Build new pricing page
👤 Diego Santos    📅 20 Oct
[WEB]   #frontend   · 60% done</v>
      </c>
      <c r="T8" s="13">
        <f>IFERROR(MATCH(tblTasks[[#This Row],[Priority]],lstPriority,0),9)*100000+IF(tblTasks[[#This Row],[Due Date]]="",99999,tblTasks[[#This Row],[Due Date]]-DATE(2000,1,1))</f>
        <v>209789</v>
      </c>
      <c r="U8" s="13">
        <f>IF(tblTasks[[#This Row],[Due Date]]="",99999999,tblTasks[[#This Row],[Due Date]])</f>
        <v>46315</v>
      </c>
      <c r="V8" s="13">
        <f>SUBTOTAL(103,tblTasks[[#This Row],[Task]])</f>
        <v>1</v>
      </c>
    </row>
    <row r="9" spans="1:23" x14ac:dyDescent="0.35">
      <c r="B9" s="13" t="str">
        <f>"T-"&amp;TEXT(ROW()-ROW(tblTasks[[#Headers],[ID]]),"000")</f>
        <v>T-003</v>
      </c>
      <c r="C9" s="31" t="s">
        <v>139</v>
      </c>
      <c r="D9" s="7" t="s">
        <v>103</v>
      </c>
      <c r="E9" s="7" t="s">
        <v>82</v>
      </c>
      <c r="F9" s="7" t="s">
        <v>10</v>
      </c>
      <c r="G9" s="7" t="s">
        <v>23</v>
      </c>
      <c r="H9" s="16">
        <v>46288</v>
      </c>
      <c r="I9" s="16">
        <v>46313</v>
      </c>
      <c r="J9" s="25">
        <v>0.9</v>
      </c>
      <c r="K9" s="7" t="s">
        <v>140</v>
      </c>
      <c r="L9" s="7"/>
      <c r="M9" s="7" t="s">
        <v>51</v>
      </c>
      <c r="N9" s="16">
        <v>46288</v>
      </c>
      <c r="O9" s="16"/>
      <c r="P9" s="29" cm="1">
        <f t="array" aca="1" ref="P9" ca="1">IF(OR(tblTasks[[#This Row],[Task]]="",tblTasks[[#This Row],[Due Date]]="",tblTasks[[#This Row],[Status]]=DoneStatus),"",tblTasks[[#This Row],[Due Date]]-TODAY())</f>
        <v>1</v>
      </c>
      <c r="Q9" s="13" t="str" cm="1">
        <f t="array" aca="1" ref="Q9" ca="1">IF(tblTasks[[#This Row],[Task]]="","",IF(tblTasks[[#This Row],[Status]]=DoneStatus,"Done",IF(tblTasks[[#This Row],[Due Date]]="","No date",IF(tblTasks[[#This Row],[Due Date]]&lt;TODAY(),"Overdue",IF(tblTasks[[#This Row],[Due Date]]-TODAY()&lt;=7,"Due soon","On track")))))</f>
        <v>Due soon</v>
      </c>
      <c r="R9" s="27" t="str" cm="1">
        <f t="array" ref="R9">IF(OR(tblTasks[[#This Row],[Status]]&lt;&gt;DoneStatus,tblTasks[[#This Row],[Completed On]]="",tblTasks[[#This Row],[Due Date]]=""),"",IF(tblTasks[[#This Row],[Completed On]]&lt;=tblTasks[[#This Row],[Due Date]],1,0))</f>
        <v/>
      </c>
      <c r="S9" s="13" t="str" cm="1">
        <f t="array" aca="1" ref="S9"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Write pricing page copy
👤 Aisha Bello    📅 18 Oct
[WEB]   #copy   · 90% done</v>
      </c>
      <c r="T9" s="13">
        <f>IFERROR(MATCH(tblTasks[[#This Row],[Priority]],lstPriority,0),9)*100000+IF(tblTasks[[#This Row],[Due Date]]="",99999,tblTasks[[#This Row],[Due Date]]-DATE(2000,1,1))</f>
        <v>309787</v>
      </c>
      <c r="U9" s="13">
        <f>IF(tblTasks[[#This Row],[Due Date]]="",99999999,tblTasks[[#This Row],[Due Date]])</f>
        <v>46313</v>
      </c>
      <c r="V9" s="13">
        <f>SUBTOTAL(103,tblTasks[[#This Row],[Task]])</f>
        <v>1</v>
      </c>
    </row>
    <row r="10" spans="1:23" x14ac:dyDescent="0.35">
      <c r="B10" s="13" t="str">
        <f>"T-"&amp;TEXT(ROW()-ROW(tblTasks[[#Headers],[ID]]),"000")</f>
        <v>T-004</v>
      </c>
      <c r="C10" s="31" t="s">
        <v>141</v>
      </c>
      <c r="D10" s="7" t="s">
        <v>103</v>
      </c>
      <c r="E10" s="7" t="s">
        <v>85</v>
      </c>
      <c r="F10" s="7" t="s">
        <v>6</v>
      </c>
      <c r="G10" s="7" t="s">
        <v>19</v>
      </c>
      <c r="H10" s="16">
        <v>46302</v>
      </c>
      <c r="I10" s="16">
        <v>46311</v>
      </c>
      <c r="J10" s="25">
        <v>0</v>
      </c>
      <c r="K10" s="7" t="s">
        <v>142</v>
      </c>
      <c r="L10" s="7"/>
      <c r="M10" s="7" t="s">
        <v>85</v>
      </c>
      <c r="N10" s="16">
        <v>46302</v>
      </c>
      <c r="O10" s="16"/>
      <c r="P10" s="29" cm="1">
        <f t="array" aca="1" ref="P10" ca="1">IF(OR(tblTasks[[#This Row],[Task]]="",tblTasks[[#This Row],[Due Date]]="",tblTasks[[#This Row],[Status]]=DoneStatus),"",tblTasks[[#This Row],[Due Date]]-TODAY())</f>
        <v>-1</v>
      </c>
      <c r="Q10" s="13" t="str" cm="1">
        <f t="array" aca="1" ref="Q10" ca="1">IF(tblTasks[[#This Row],[Task]]="","",IF(tblTasks[[#This Row],[Status]]=DoneStatus,"Done",IF(tblTasks[[#This Row],[Due Date]]="","No date",IF(tblTasks[[#This Row],[Due Date]]&lt;TODAY(),"Overdue",IF(tblTasks[[#This Row],[Due Date]]-TODAY()&lt;=7,"Due soon","On track")))))</f>
        <v>Overdue</v>
      </c>
      <c r="R10" s="27" t="str" cm="1">
        <f t="array" ref="R10">IF(OR(tblTasks[[#This Row],[Status]]&lt;&gt;DoneStatus,tblTasks[[#This Row],[Completed On]]="",tblTasks[[#This Row],[Due Date]]=""),"",IF(tblTasks[[#This Row],[Completed On]]&lt;=tblTasks[[#This Row],[Due Date]],1,0))</f>
        <v/>
      </c>
      <c r="S10" s="13" t="str" cm="1">
        <f t="array" aca="1" ref="S10"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QA signup flow on mobile
👤 Tom Becker    📅 16 Oct
⚠ OVERDUE   [WEB]   #qa #mobile</v>
      </c>
      <c r="T10" s="13">
        <f>IFERROR(MATCH(tblTasks[[#This Row],[Priority]],lstPriority,0),9)*100000+IF(tblTasks[[#This Row],[Due Date]]="",99999,tblTasks[[#This Row],[Due Date]]-DATE(2000,1,1))</f>
        <v>109785</v>
      </c>
      <c r="U10" s="13">
        <f>IF(tblTasks[[#This Row],[Due Date]]="",99999999,tblTasks[[#This Row],[Due Date]])</f>
        <v>46311</v>
      </c>
      <c r="V10" s="13">
        <f>SUBTOTAL(103,tblTasks[[#This Row],[Task]])</f>
        <v>1</v>
      </c>
    </row>
    <row r="11" spans="1:23" x14ac:dyDescent="0.35">
      <c r="B11" s="13" t="str">
        <f>"T-"&amp;TEXT(ROW()-ROW(tblTasks[[#Headers],[ID]]),"000")</f>
        <v>T-005</v>
      </c>
      <c r="C11" s="31" t="s">
        <v>143</v>
      </c>
      <c r="D11" s="7" t="s">
        <v>103</v>
      </c>
      <c r="E11" s="7" t="s">
        <v>79</v>
      </c>
      <c r="F11" s="7" t="s">
        <v>12</v>
      </c>
      <c r="G11" s="7" t="s">
        <v>23</v>
      </c>
      <c r="H11" s="16">
        <v>46294</v>
      </c>
      <c r="I11" s="16">
        <v>46320</v>
      </c>
      <c r="J11" s="25">
        <v>0.3</v>
      </c>
      <c r="K11" s="7" t="s">
        <v>144</v>
      </c>
      <c r="L11" s="7"/>
      <c r="M11" s="7" t="s">
        <v>51</v>
      </c>
      <c r="N11" s="16">
        <v>46294</v>
      </c>
      <c r="O11" s="16"/>
      <c r="P11" s="29" cm="1">
        <f t="array" aca="1" ref="P11" ca="1">IF(OR(tblTasks[[#This Row],[Task]]="",tblTasks[[#This Row],[Due Date]]="",tblTasks[[#This Row],[Status]]=DoneStatus),"",tblTasks[[#This Row],[Due Date]]-TODAY())</f>
        <v>8</v>
      </c>
      <c r="Q11" s="13" t="str" cm="1">
        <f t="array" aca="1" ref="Q11" ca="1">IF(tblTasks[[#This Row],[Task]]="","",IF(tblTasks[[#This Row],[Status]]=DoneStatus,"Done",IF(tblTasks[[#This Row],[Due Date]]="","No date",IF(tblTasks[[#This Row],[Due Date]]&lt;TODAY(),"Overdue",IF(tblTasks[[#This Row],[Due Date]]-TODAY()&lt;=7,"Due soon","On track")))))</f>
        <v>On track</v>
      </c>
      <c r="R11" s="27" t="str" cm="1">
        <f t="array" ref="R11">IF(OR(tblTasks[[#This Row],[Status]]&lt;&gt;DoneStatus,tblTasks[[#This Row],[Completed On]]="",tblTasks[[#This Row],[Due Date]]=""),"",IF(tblTasks[[#This Row],[Completed On]]&lt;=tblTasks[[#This Row],[Due Date]],1,0))</f>
        <v/>
      </c>
      <c r="S11" s="13" t="str" cm="1">
        <f t="array" aca="1" ref="S11"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Migrate blog to new CMS
👤 Diego Santos    📅 25 Oct
[WEB]   #backend   · 30% done</v>
      </c>
      <c r="T11" s="13">
        <f>IFERROR(MATCH(tblTasks[[#This Row],[Priority]],lstPriority,0),9)*100000+IF(tblTasks[[#This Row],[Due Date]]="",99999,tblTasks[[#This Row],[Due Date]]-DATE(2000,1,1))</f>
        <v>309794</v>
      </c>
      <c r="U11" s="13">
        <f>IF(tblTasks[[#This Row],[Due Date]]="",99999999,tblTasks[[#This Row],[Due Date]])</f>
        <v>46320</v>
      </c>
      <c r="V11" s="13">
        <f>SUBTOTAL(103,tblTasks[[#This Row],[Task]])</f>
        <v>1</v>
      </c>
    </row>
    <row r="12" spans="1:23" x14ac:dyDescent="0.35">
      <c r="B12" s="13" t="str">
        <f>"T-"&amp;TEXT(ROW()-ROW(tblTasks[[#Headers],[ID]]),"000")</f>
        <v>T-006</v>
      </c>
      <c r="C12" s="31" t="s">
        <v>145</v>
      </c>
      <c r="D12" s="7" t="s">
        <v>103</v>
      </c>
      <c r="E12" s="7" t="s">
        <v>75</v>
      </c>
      <c r="F12" s="7" t="s">
        <v>6</v>
      </c>
      <c r="G12" s="7" t="s">
        <v>23</v>
      </c>
      <c r="H12" s="16">
        <v>46306</v>
      </c>
      <c r="I12" s="16">
        <v>46326</v>
      </c>
      <c r="J12" s="25">
        <v>0</v>
      </c>
      <c r="K12" s="7" t="s">
        <v>146</v>
      </c>
      <c r="L12" s="7"/>
      <c r="M12" s="7" t="s">
        <v>75</v>
      </c>
      <c r="N12" s="16">
        <v>46306</v>
      </c>
      <c r="O12" s="16"/>
      <c r="P12" s="29" cm="1">
        <f t="array" aca="1" ref="P12" ca="1">IF(OR(tblTasks[[#This Row],[Task]]="",tblTasks[[#This Row],[Due Date]]="",tblTasks[[#This Row],[Status]]=DoneStatus),"",tblTasks[[#This Row],[Due Date]]-TODAY())</f>
        <v>14</v>
      </c>
      <c r="Q12" s="13" t="str" cm="1">
        <f t="array" aca="1" ref="Q12" ca="1">IF(tblTasks[[#This Row],[Task]]="","",IF(tblTasks[[#This Row],[Status]]=DoneStatus,"Done",IF(tblTasks[[#This Row],[Due Date]]="","No date",IF(tblTasks[[#This Row],[Due Date]]&lt;TODAY(),"Overdue",IF(tblTasks[[#This Row],[Due Date]]-TODAY()&lt;=7,"Due soon","On track")))))</f>
        <v>On track</v>
      </c>
      <c r="R12" s="27" t="str" cm="1">
        <f t="array" ref="R12">IF(OR(tblTasks[[#This Row],[Status]]&lt;&gt;DoneStatus,tblTasks[[#This Row],[Completed On]]="",tblTasks[[#This Row],[Due Date]]=""),"",IF(tblTasks[[#This Row],[Completed On]]&lt;=tblTasks[[#This Row],[Due Date]],1,0))</f>
        <v/>
      </c>
      <c r="S12" s="13" t="str" cm="1">
        <f t="array" aca="1" ref="S12"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Accessibility audit
👤 Nora Fischer    📅 31 Oct
[WEB]   #a11y</v>
      </c>
      <c r="T12" s="13">
        <f>IFERROR(MATCH(tblTasks[[#This Row],[Priority]],lstPriority,0),9)*100000+IF(tblTasks[[#This Row],[Due Date]]="",99999,tblTasks[[#This Row],[Due Date]]-DATE(2000,1,1))</f>
        <v>309800</v>
      </c>
      <c r="U12" s="13">
        <f>IF(tblTasks[[#This Row],[Due Date]]="",99999999,tblTasks[[#This Row],[Due Date]])</f>
        <v>46326</v>
      </c>
      <c r="V12" s="13">
        <f>SUBTOTAL(103,tblTasks[[#This Row],[Task]])</f>
        <v>1</v>
      </c>
    </row>
    <row r="13" spans="1:23" x14ac:dyDescent="0.35">
      <c r="B13" s="13" t="str">
        <f>"T-"&amp;TEXT(ROW()-ROW(tblTasks[[#Headers],[ID]]),"000")</f>
        <v>T-007</v>
      </c>
      <c r="C13" s="31" t="s">
        <v>147</v>
      </c>
      <c r="D13" s="7" t="s">
        <v>103</v>
      </c>
      <c r="E13" s="7" t="s">
        <v>63</v>
      </c>
      <c r="F13" s="7" t="s">
        <v>8</v>
      </c>
      <c r="G13" s="7" t="s">
        <v>23</v>
      </c>
      <c r="H13" s="16">
        <v>46304</v>
      </c>
      <c r="I13" s="16">
        <v>46317</v>
      </c>
      <c r="J13" s="25">
        <v>0.4</v>
      </c>
      <c r="K13" s="7" t="s">
        <v>148</v>
      </c>
      <c r="L13" s="7"/>
      <c r="M13" s="7" t="s">
        <v>63</v>
      </c>
      <c r="N13" s="16">
        <v>46303</v>
      </c>
      <c r="O13" s="16"/>
      <c r="P13" s="29" cm="1">
        <f t="array" aca="1" ref="P13" ca="1">IF(OR(tblTasks[[#This Row],[Task]]="",tblTasks[[#This Row],[Due Date]]="",tblTasks[[#This Row],[Status]]=DoneStatus),"",tblTasks[[#This Row],[Due Date]]-TODAY())</f>
        <v>5</v>
      </c>
      <c r="Q13" s="13" t="str" cm="1">
        <f t="array" aca="1" ref="Q13" ca="1">IF(tblTasks[[#This Row],[Task]]="","",IF(tblTasks[[#This Row],[Status]]=DoneStatus,"Done",IF(tblTasks[[#This Row],[Due Date]]="","No date",IF(tblTasks[[#This Row],[Due Date]]&lt;TODAY(),"Overdue",IF(tblTasks[[#This Row],[Due Date]]-TODAY()&lt;=7,"Due soon","On track")))))</f>
        <v>Due soon</v>
      </c>
      <c r="R13" s="27" t="str" cm="1">
        <f t="array" ref="R13">IF(OR(tblTasks[[#This Row],[Status]]&lt;&gt;DoneStatus,tblTasks[[#This Row],[Completed On]]="",tblTasks[[#This Row],[Due Date]]=""),"",IF(tblTasks[[#This Row],[Completed On]]&lt;=tblTasks[[#This Row],[Due Date]],1,0))</f>
        <v/>
      </c>
      <c r="S13" s="13" t="str" cm="1">
        <f t="array" aca="1" ref="S13"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Set up analytics events
👤 Jack Moore    📅 22 Oct
[WEB]   #data   · 40% done</v>
      </c>
      <c r="T13" s="13">
        <f>IFERROR(MATCH(tblTasks[[#This Row],[Priority]],lstPriority,0),9)*100000+IF(tblTasks[[#This Row],[Due Date]]="",99999,tblTasks[[#This Row],[Due Date]]-DATE(2000,1,1))</f>
        <v>309791</v>
      </c>
      <c r="U13" s="13">
        <f>IF(tblTasks[[#This Row],[Due Date]]="",99999999,tblTasks[[#This Row],[Due Date]])</f>
        <v>46317</v>
      </c>
      <c r="V13" s="13">
        <f>SUBTOTAL(103,tblTasks[[#This Row],[Task]])</f>
        <v>1</v>
      </c>
    </row>
    <row r="14" spans="1:23" x14ac:dyDescent="0.35">
      <c r="B14" s="13" t="str">
        <f>"T-"&amp;TEXT(ROW()-ROW(tblTasks[[#Headers],[ID]]),"000")</f>
        <v>T-008</v>
      </c>
      <c r="C14" s="31" t="s">
        <v>149</v>
      </c>
      <c r="D14" s="7" t="s">
        <v>103</v>
      </c>
      <c r="E14" s="7" t="s">
        <v>79</v>
      </c>
      <c r="F14" s="7" t="s">
        <v>14</v>
      </c>
      <c r="G14" s="7" t="s">
        <v>25</v>
      </c>
      <c r="H14" s="16">
        <v>46292</v>
      </c>
      <c r="I14" s="16">
        <v>46309</v>
      </c>
      <c r="J14" s="25">
        <v>1</v>
      </c>
      <c r="K14" s="7" t="s">
        <v>150</v>
      </c>
      <c r="L14" s="7"/>
      <c r="M14" s="7" t="s">
        <v>79</v>
      </c>
      <c r="N14" s="16">
        <v>46292</v>
      </c>
      <c r="O14" s="16">
        <v>46308</v>
      </c>
      <c r="P14" s="29" cm="1">
        <f t="array" aca="1" ref="P14" ca="1">IF(OR(tblTasks[[#This Row],[Task]]="",tblTasks[[#This Row],[Due Date]]="",tblTasks[[#This Row],[Status]]=DoneStatus),"",tblTasks[[#This Row],[Due Date]]-TODAY())</f>
        <v>-3</v>
      </c>
      <c r="Q14" s="13" t="str" cm="1">
        <f t="array" aca="1" ref="Q14" ca="1">IF(tblTasks[[#This Row],[Task]]="","",IF(tblTasks[[#This Row],[Status]]=DoneStatus,"Done",IF(tblTasks[[#This Row],[Due Date]]="","No date",IF(tblTasks[[#This Row],[Due Date]]&lt;TODAY(),"Overdue",IF(tblTasks[[#This Row],[Due Date]]-TODAY()&lt;=7,"Due soon","On track")))))</f>
        <v>Overdue</v>
      </c>
      <c r="R14" s="27" t="str" cm="1">
        <f t="array" ref="R14">IF(OR(tblTasks[[#This Row],[Status]]&lt;&gt;DoneStatus,tblTasks[[#This Row],[Completed On]]="",tblTasks[[#This Row],[Due Date]]=""),"",IF(tblTasks[[#This Row],[Completed On]]&lt;=tblTasks[[#This Row],[Due Date]],1,0))</f>
        <v/>
      </c>
      <c r="S14" s="13" t="str" cm="1">
        <f t="array" aca="1" ref="S14"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Optimize image loading
👤 Diego Santos    📅 14 Oct
⚠ OVERDUE   [WEB]   #performance   · 100% done</v>
      </c>
      <c r="T14" s="13">
        <f>IFERROR(MATCH(tblTasks[[#This Row],[Priority]],lstPriority,0),9)*100000+IF(tblTasks[[#This Row],[Due Date]]="",99999,tblTasks[[#This Row],[Due Date]]-DATE(2000,1,1))</f>
        <v>409783</v>
      </c>
      <c r="U14" s="13">
        <f>IF(tblTasks[[#This Row],[Due Date]]="",99999999,tblTasks[[#This Row],[Due Date]])</f>
        <v>46309</v>
      </c>
      <c r="V14" s="13">
        <f>SUBTOTAL(103,tblTasks[[#This Row],[Task]])</f>
        <v>1</v>
      </c>
    </row>
    <row r="15" spans="1:23" x14ac:dyDescent="0.35">
      <c r="B15" s="13" t="str">
        <f>"T-"&amp;TEXT(ROW()-ROW(tblTasks[[#Headers],[ID]]),"000")</f>
        <v>T-009</v>
      </c>
      <c r="C15" s="31" t="s">
        <v>151</v>
      </c>
      <c r="D15" s="7" t="s">
        <v>103</v>
      </c>
      <c r="E15" s="7" t="s">
        <v>51</v>
      </c>
      <c r="F15" s="7" t="s">
        <v>6</v>
      </c>
      <c r="G15" s="7" t="s">
        <v>21</v>
      </c>
      <c r="H15" s="16">
        <v>46311</v>
      </c>
      <c r="I15" s="16">
        <v>46334</v>
      </c>
      <c r="J15" s="25">
        <v>0</v>
      </c>
      <c r="K15" s="7" t="s">
        <v>152</v>
      </c>
      <c r="L15" s="7"/>
      <c r="M15" s="7" t="s">
        <v>51</v>
      </c>
      <c r="N15" s="16">
        <v>46310</v>
      </c>
      <c r="O15" s="16"/>
      <c r="P15" s="29" cm="1">
        <f t="array" aca="1" ref="P15" ca="1">IF(OR(tblTasks[[#This Row],[Task]]="",tblTasks[[#This Row],[Due Date]]="",tblTasks[[#This Row],[Status]]=DoneStatus),"",tblTasks[[#This Row],[Due Date]]-TODAY())</f>
        <v>22</v>
      </c>
      <c r="Q15" s="13" t="str" cm="1">
        <f t="array" aca="1" ref="Q15" ca="1">IF(tblTasks[[#This Row],[Task]]="","",IF(tblTasks[[#This Row],[Status]]=DoneStatus,"Done",IF(tblTasks[[#This Row],[Due Date]]="","No date",IF(tblTasks[[#This Row],[Due Date]]&lt;TODAY(),"Overdue",IF(tblTasks[[#This Row],[Due Date]]-TODAY()&lt;=7,"Due soon","On track")))))</f>
        <v>On track</v>
      </c>
      <c r="R15" s="27" t="str" cm="1">
        <f t="array" ref="R15">IF(OR(tblTasks[[#This Row],[Status]]&lt;&gt;DoneStatus,tblTasks[[#This Row],[Completed On]]="",tblTasks[[#This Row],[Due Date]]=""),"",IF(tblTasks[[#This Row],[Completed On]]&lt;=tblTasks[[#This Row],[Due Date]],1,0))</f>
        <v/>
      </c>
      <c r="S15" s="13" t="str" cm="1">
        <f t="array" aca="1" ref="S15"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Launch-day checklist
👤 Sara Ali    📅 8 Nov
[WEB]   #launch</v>
      </c>
      <c r="T15" s="13">
        <f>IFERROR(MATCH(tblTasks[[#This Row],[Priority]],lstPriority,0),9)*100000+IF(tblTasks[[#This Row],[Due Date]]="",99999,tblTasks[[#This Row],[Due Date]]-DATE(2000,1,1))</f>
        <v>209808</v>
      </c>
      <c r="U15" s="13">
        <f>IF(tblTasks[[#This Row],[Due Date]]="",99999999,tblTasks[[#This Row],[Due Date]])</f>
        <v>46334</v>
      </c>
      <c r="V15" s="13">
        <f>SUBTOTAL(103,tblTasks[[#This Row],[Task]])</f>
        <v>1</v>
      </c>
    </row>
    <row r="16" spans="1:23" x14ac:dyDescent="0.35">
      <c r="B16" s="13" t="str">
        <f>"T-"&amp;TEXT(ROW()-ROW(tblTasks[[#Headers],[ID]]),"000")</f>
        <v>T-010</v>
      </c>
      <c r="C16" s="31" t="s">
        <v>153</v>
      </c>
      <c r="D16" s="7" t="s">
        <v>106</v>
      </c>
      <c r="E16" s="7" t="s">
        <v>59</v>
      </c>
      <c r="F16" s="7" t="s">
        <v>14</v>
      </c>
      <c r="G16" s="7" t="s">
        <v>21</v>
      </c>
      <c r="H16" s="16">
        <v>46284</v>
      </c>
      <c r="I16" s="16">
        <v>46292</v>
      </c>
      <c r="J16" s="25">
        <v>1</v>
      </c>
      <c r="K16" s="7" t="s">
        <v>154</v>
      </c>
      <c r="L16" s="7"/>
      <c r="M16" s="7" t="s">
        <v>59</v>
      </c>
      <c r="N16" s="16">
        <v>46282</v>
      </c>
      <c r="O16" s="16">
        <v>46291</v>
      </c>
      <c r="P16" s="29" cm="1">
        <f t="array" aca="1" ref="P16" ca="1">IF(OR(tblTasks[[#This Row],[Task]]="",tblTasks[[#This Row],[Due Date]]="",tblTasks[[#This Row],[Status]]=DoneStatus),"",tblTasks[[#This Row],[Due Date]]-TODAY())</f>
        <v>-20</v>
      </c>
      <c r="Q16" s="13" t="str" cm="1">
        <f t="array" aca="1" ref="Q16" ca="1">IF(tblTasks[[#This Row],[Task]]="","",IF(tblTasks[[#This Row],[Status]]=DoneStatus,"Done",IF(tblTasks[[#This Row],[Due Date]]="","No date",IF(tblTasks[[#This Row],[Due Date]]&lt;TODAY(),"Overdue",IF(tblTasks[[#This Row],[Due Date]]-TODAY()&lt;=7,"Due soon","On track")))))</f>
        <v>Overdue</v>
      </c>
      <c r="R16" s="27" t="str" cm="1">
        <f t="array" ref="R16">IF(OR(tblTasks[[#This Row],[Status]]&lt;&gt;DoneStatus,tblTasks[[#This Row],[Completed On]]="",tblTasks[[#This Row],[Due Date]]=""),"",IF(tblTasks[[#This Row],[Completed On]]&lt;=tblTasks[[#This Row],[Due Date]],1,0))</f>
        <v/>
      </c>
      <c r="S16" s="13" t="str" cm="1">
        <f t="array" aca="1" ref="S16"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Campaign brief &amp; goals
👤 Lina Park    📅 27 Sep
⚠ OVERDUE   [MKT]   #strategy   · 100% done</v>
      </c>
      <c r="T16" s="13">
        <f>IFERROR(MATCH(tblTasks[[#This Row],[Priority]],lstPriority,0),9)*100000+IF(tblTasks[[#This Row],[Due Date]]="",99999,tblTasks[[#This Row],[Due Date]]-DATE(2000,1,1))</f>
        <v>209766</v>
      </c>
      <c r="U16" s="13">
        <f>IF(tblTasks[[#This Row],[Due Date]]="",99999999,tblTasks[[#This Row],[Due Date]])</f>
        <v>46292</v>
      </c>
      <c r="V16" s="13">
        <f>SUBTOTAL(103,tblTasks[[#This Row],[Task]])</f>
        <v>1</v>
      </c>
    </row>
    <row r="17" spans="2:22" x14ac:dyDescent="0.35">
      <c r="B17" s="13" t="str">
        <f>"T-"&amp;TEXT(ROW()-ROW(tblTasks[[#Headers],[ID]]),"000")</f>
        <v>T-011</v>
      </c>
      <c r="C17" s="31" t="s">
        <v>155</v>
      </c>
      <c r="D17" s="7" t="s">
        <v>106</v>
      </c>
      <c r="E17" s="7" t="s">
        <v>82</v>
      </c>
      <c r="F17" s="7" t="s">
        <v>8</v>
      </c>
      <c r="G17" s="7" t="s">
        <v>21</v>
      </c>
      <c r="H17" s="16">
        <v>46297</v>
      </c>
      <c r="I17" s="16">
        <v>46318</v>
      </c>
      <c r="J17" s="25">
        <v>0.5</v>
      </c>
      <c r="K17" s="7" t="s">
        <v>156</v>
      </c>
      <c r="L17" s="7"/>
      <c r="M17" s="7" t="s">
        <v>51</v>
      </c>
      <c r="N17" s="16">
        <v>46297</v>
      </c>
      <c r="O17" s="16"/>
      <c r="P17" s="29" cm="1">
        <f t="array" aca="1" ref="P17" ca="1">IF(OR(tblTasks[[#This Row],[Task]]="",tblTasks[[#This Row],[Due Date]]="",tblTasks[[#This Row],[Status]]=DoneStatus),"",tblTasks[[#This Row],[Due Date]]-TODAY())</f>
        <v>6</v>
      </c>
      <c r="Q17" s="13" t="str" cm="1">
        <f t="array" aca="1" ref="Q17" ca="1">IF(tblTasks[[#This Row],[Task]]="","",IF(tblTasks[[#This Row],[Status]]=DoneStatus,"Done",IF(tblTasks[[#This Row],[Due Date]]="","No date",IF(tblTasks[[#This Row],[Due Date]]&lt;TODAY(),"Overdue",IF(tblTasks[[#This Row],[Due Date]]-TODAY()&lt;=7,"Due soon","On track")))))</f>
        <v>Due soon</v>
      </c>
      <c r="R17" s="27" t="str" cm="1">
        <f t="array" ref="R17">IF(OR(tblTasks[[#This Row],[Status]]&lt;&gt;DoneStatus,tblTasks[[#This Row],[Completed On]]="",tblTasks[[#This Row],[Due Date]]=""),"",IF(tblTasks[[#This Row],[Completed On]]&lt;=tblTasks[[#This Row],[Due Date]],1,0))</f>
        <v/>
      </c>
      <c r="S17" s="13" t="str" cm="1">
        <f t="array" aca="1" ref="S17"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Holiday email sequence
👤 Aisha Bello    📅 23 Oct
[MKT]   #email   · 50% done</v>
      </c>
      <c r="T17" s="13">
        <f>IFERROR(MATCH(tblTasks[[#This Row],[Priority]],lstPriority,0),9)*100000+IF(tblTasks[[#This Row],[Due Date]]="",99999,tblTasks[[#This Row],[Due Date]]-DATE(2000,1,1))</f>
        <v>209792</v>
      </c>
      <c r="U17" s="13">
        <f>IF(tblTasks[[#This Row],[Due Date]]="",99999999,tblTasks[[#This Row],[Due Date]])</f>
        <v>46318</v>
      </c>
      <c r="V17" s="13">
        <f>SUBTOTAL(103,tblTasks[[#This Row],[Task]])</f>
        <v>1</v>
      </c>
    </row>
    <row r="18" spans="2:22" x14ac:dyDescent="0.35">
      <c r="B18" s="13" t="str">
        <f>"T-"&amp;TEXT(ROW()-ROW(tblTasks[[#Headers],[ID]]),"000")</f>
        <v>T-012</v>
      </c>
      <c r="C18" s="31" t="s">
        <v>157</v>
      </c>
      <c r="D18" s="7" t="s">
        <v>106</v>
      </c>
      <c r="E18" s="7" t="s">
        <v>59</v>
      </c>
      <c r="F18" s="7" t="s">
        <v>10</v>
      </c>
      <c r="G18" s="7" t="s">
        <v>23</v>
      </c>
      <c r="H18" s="16">
        <v>46300</v>
      </c>
      <c r="I18" s="16">
        <v>46314</v>
      </c>
      <c r="J18" s="25">
        <v>0.8</v>
      </c>
      <c r="K18" s="7" t="s">
        <v>158</v>
      </c>
      <c r="L18" s="7"/>
      <c r="M18" s="7" t="s">
        <v>51</v>
      </c>
      <c r="N18" s="16">
        <v>46298</v>
      </c>
      <c r="O18" s="16"/>
      <c r="P18" s="29" cm="1">
        <f t="array" aca="1" ref="P18" ca="1">IF(OR(tblTasks[[#This Row],[Task]]="",tblTasks[[#This Row],[Due Date]]="",tblTasks[[#This Row],[Status]]=DoneStatus),"",tblTasks[[#This Row],[Due Date]]-TODAY())</f>
        <v>2</v>
      </c>
      <c r="Q18" s="13" t="str" cm="1">
        <f t="array" aca="1" ref="Q18" ca="1">IF(tblTasks[[#This Row],[Task]]="","",IF(tblTasks[[#This Row],[Status]]=DoneStatus,"Done",IF(tblTasks[[#This Row],[Due Date]]="","No date",IF(tblTasks[[#This Row],[Due Date]]&lt;TODAY(),"Overdue",IF(tblTasks[[#This Row],[Due Date]]-TODAY()&lt;=7,"Due soon","On track")))))</f>
        <v>Due soon</v>
      </c>
      <c r="R18" s="27" t="str" cm="1">
        <f t="array" ref="R18">IF(OR(tblTasks[[#This Row],[Status]]&lt;&gt;DoneStatus,tblTasks[[#This Row],[Completed On]]="",tblTasks[[#This Row],[Due Date]]=""),"",IF(tblTasks[[#This Row],[Completed On]]&lt;=tblTasks[[#This Row],[Due Date]],1,0))</f>
        <v/>
      </c>
      <c r="S18" s="13" t="str" cm="1">
        <f t="array" aca="1" ref="S18"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Social media calendar
👤 Lina Park    📅 19 Oct
[MKT]   #social   · 80% done</v>
      </c>
      <c r="T18" s="13">
        <f>IFERROR(MATCH(tblTasks[[#This Row],[Priority]],lstPriority,0),9)*100000+IF(tblTasks[[#This Row],[Due Date]]="",99999,tblTasks[[#This Row],[Due Date]]-DATE(2000,1,1))</f>
        <v>309788</v>
      </c>
      <c r="U18" s="13">
        <f>IF(tblTasks[[#This Row],[Due Date]]="",99999999,tblTasks[[#This Row],[Due Date]])</f>
        <v>46314</v>
      </c>
      <c r="V18" s="13">
        <f>SUBTOTAL(103,tblTasks[[#This Row],[Task]])</f>
        <v>1</v>
      </c>
    </row>
    <row r="19" spans="2:22" x14ac:dyDescent="0.35">
      <c r="B19" s="13" t="str">
        <f>"T-"&amp;TEXT(ROW()-ROW(tblTasks[[#Headers],[ID]]),"000")</f>
        <v>T-013</v>
      </c>
      <c r="C19" s="31" t="s">
        <v>159</v>
      </c>
      <c r="D19" s="7" t="s">
        <v>106</v>
      </c>
      <c r="E19" s="7" t="s">
        <v>75</v>
      </c>
      <c r="F19" s="7" t="s">
        <v>6</v>
      </c>
      <c r="G19" s="7" t="s">
        <v>23</v>
      </c>
      <c r="H19" s="16">
        <v>46306</v>
      </c>
      <c r="I19" s="16">
        <v>46322</v>
      </c>
      <c r="J19" s="25">
        <v>0</v>
      </c>
      <c r="K19" s="7" t="s">
        <v>160</v>
      </c>
      <c r="L19" s="7"/>
      <c r="M19" s="7" t="s">
        <v>51</v>
      </c>
      <c r="N19" s="16">
        <v>46304</v>
      </c>
      <c r="O19" s="16"/>
      <c r="P19" s="29" cm="1">
        <f t="array" aca="1" ref="P19" ca="1">IF(OR(tblTasks[[#This Row],[Task]]="",tblTasks[[#This Row],[Due Date]]="",tblTasks[[#This Row],[Status]]=DoneStatus),"",tblTasks[[#This Row],[Due Date]]-TODAY())</f>
        <v>10</v>
      </c>
      <c r="Q19" s="13" t="str" cm="1">
        <f t="array" aca="1" ref="Q19" ca="1">IF(tblTasks[[#This Row],[Task]]="","",IF(tblTasks[[#This Row],[Status]]=DoneStatus,"Done",IF(tblTasks[[#This Row],[Due Date]]="","No date",IF(tblTasks[[#This Row],[Due Date]]&lt;TODAY(),"Overdue",IF(tblTasks[[#This Row],[Due Date]]-TODAY()&lt;=7,"Due soon","On track")))))</f>
        <v>On track</v>
      </c>
      <c r="R19" s="27" t="str" cm="1">
        <f t="array" ref="R19">IF(OR(tblTasks[[#This Row],[Status]]&lt;&gt;DoneStatus,tblTasks[[#This Row],[Completed On]]="",tblTasks[[#This Row],[Due Date]]=""),"",IF(tblTasks[[#This Row],[Completed On]]&lt;=tblTasks[[#This Row],[Due Date]],1,0))</f>
        <v/>
      </c>
      <c r="S19" s="13" t="str" cm="1">
        <f t="array" aca="1" ref="S19"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Paid ads creative
👤 Nora Fischer    📅 27 Oct
[MKT]   #ads #design</v>
      </c>
      <c r="T19" s="13">
        <f>IFERROR(MATCH(tblTasks[[#This Row],[Priority]],lstPriority,0),9)*100000+IF(tblTasks[[#This Row],[Due Date]]="",99999,tblTasks[[#This Row],[Due Date]]-DATE(2000,1,1))</f>
        <v>309796</v>
      </c>
      <c r="U19" s="13">
        <f>IF(tblTasks[[#This Row],[Due Date]]="",99999999,tblTasks[[#This Row],[Due Date]])</f>
        <v>46322</v>
      </c>
      <c r="V19" s="13">
        <f>SUBTOTAL(103,tblTasks[[#This Row],[Task]])</f>
        <v>1</v>
      </c>
    </row>
    <row r="20" spans="2:22" x14ac:dyDescent="0.35">
      <c r="B20" s="13" t="str">
        <f>"T-"&amp;TEXT(ROW()-ROW(tblTasks[[#Headers],[ID]]),"000")</f>
        <v>T-014</v>
      </c>
      <c r="C20" s="31" t="s">
        <v>161</v>
      </c>
      <c r="D20" s="7" t="s">
        <v>106</v>
      </c>
      <c r="E20" s="7" t="s">
        <v>59</v>
      </c>
      <c r="F20" s="7" t="s">
        <v>6</v>
      </c>
      <c r="G20" s="7" t="s">
        <v>25</v>
      </c>
      <c r="H20" s="16">
        <v>46307</v>
      </c>
      <c r="I20" s="16">
        <v>46330</v>
      </c>
      <c r="J20" s="25">
        <v>0</v>
      </c>
      <c r="K20" s="7" t="s">
        <v>162</v>
      </c>
      <c r="L20" s="7"/>
      <c r="M20" s="7" t="s">
        <v>51</v>
      </c>
      <c r="N20" s="16">
        <v>46307</v>
      </c>
      <c r="O20" s="16"/>
      <c r="P20" s="29" cm="1">
        <f t="array" aca="1" ref="P20" ca="1">IF(OR(tblTasks[[#This Row],[Task]]="",tblTasks[[#This Row],[Due Date]]="",tblTasks[[#This Row],[Status]]=DoneStatus),"",tblTasks[[#This Row],[Due Date]]-TODAY())</f>
        <v>18</v>
      </c>
      <c r="Q20" s="13" t="str" cm="1">
        <f t="array" aca="1" ref="Q20" ca="1">IF(tblTasks[[#This Row],[Task]]="","",IF(tblTasks[[#This Row],[Status]]=DoneStatus,"Done",IF(tblTasks[[#This Row],[Due Date]]="","No date",IF(tblTasks[[#This Row],[Due Date]]&lt;TODAY(),"Overdue",IF(tblTasks[[#This Row],[Due Date]]-TODAY()&lt;=7,"Due soon","On track")))))</f>
        <v>On track</v>
      </c>
      <c r="R20" s="27" t="str" cm="1">
        <f t="array" ref="R20">IF(OR(tblTasks[[#This Row],[Status]]&lt;&gt;DoneStatus,tblTasks[[#This Row],[Completed On]]="",tblTasks[[#This Row],[Due Date]]=""),"",IF(tblTasks[[#This Row],[Completed On]]&lt;=tblTasks[[#This Row],[Due Date]],1,0))</f>
        <v/>
      </c>
      <c r="S20" s="13" t="str" cm="1">
        <f t="array" aca="1" ref="S20"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Influencer shortlist
👤 Lina Park    📅 4 Nov
[MKT]   #partners</v>
      </c>
      <c r="T20" s="13">
        <f>IFERROR(MATCH(tblTasks[[#This Row],[Priority]],lstPriority,0),9)*100000+IF(tblTasks[[#This Row],[Due Date]]="",99999,tblTasks[[#This Row],[Due Date]]-DATE(2000,1,1))</f>
        <v>409804</v>
      </c>
      <c r="U20" s="13">
        <f>IF(tblTasks[[#This Row],[Due Date]]="",99999999,tblTasks[[#This Row],[Due Date]])</f>
        <v>46330</v>
      </c>
      <c r="V20" s="13">
        <f>SUBTOTAL(103,tblTasks[[#This Row],[Task]])</f>
        <v>1</v>
      </c>
    </row>
    <row r="21" spans="2:22" x14ac:dyDescent="0.35">
      <c r="B21" s="13" t="str">
        <f>"T-"&amp;TEXT(ROW()-ROW(tblTasks[[#Headers],[ID]]),"000")</f>
        <v>T-015</v>
      </c>
      <c r="C21" s="31" t="s">
        <v>163</v>
      </c>
      <c r="D21" s="7" t="s">
        <v>106</v>
      </c>
      <c r="E21" s="7" t="s">
        <v>63</v>
      </c>
      <c r="F21" s="7" t="s">
        <v>12</v>
      </c>
      <c r="G21" s="7" t="s">
        <v>21</v>
      </c>
      <c r="H21" s="16">
        <v>46300</v>
      </c>
      <c r="I21" s="16">
        <v>46310</v>
      </c>
      <c r="J21" s="25">
        <v>0.2</v>
      </c>
      <c r="K21" s="7" t="s">
        <v>164</v>
      </c>
      <c r="L21" s="7"/>
      <c r="M21" s="7" t="s">
        <v>51</v>
      </c>
      <c r="N21" s="16">
        <v>46300</v>
      </c>
      <c r="O21" s="16"/>
      <c r="P21" s="29" cm="1">
        <f t="array" aca="1" ref="P21" ca="1">IF(OR(tblTasks[[#This Row],[Task]]="",tblTasks[[#This Row],[Due Date]]="",tblTasks[[#This Row],[Status]]=DoneStatus),"",tblTasks[[#This Row],[Due Date]]-TODAY())</f>
        <v>-2</v>
      </c>
      <c r="Q21" s="13" t="str" cm="1">
        <f t="array" aca="1" ref="Q21" ca="1">IF(tblTasks[[#This Row],[Task]]="","",IF(tblTasks[[#This Row],[Status]]=DoneStatus,"Done",IF(tblTasks[[#This Row],[Due Date]]="","No date",IF(tblTasks[[#This Row],[Due Date]]&lt;TODAY(),"Overdue",IF(tblTasks[[#This Row],[Due Date]]-TODAY()&lt;=7,"Due soon","On track")))))</f>
        <v>Overdue</v>
      </c>
      <c r="R21" s="27" t="str" cm="1">
        <f t="array" ref="R21">IF(OR(tblTasks[[#This Row],[Status]]&lt;&gt;DoneStatus,tblTasks[[#This Row],[Completed On]]="",tblTasks[[#This Row],[Due Date]]=""),"",IF(tblTasks[[#This Row],[Completed On]]&lt;=tblTasks[[#This Row],[Due Date]],1,0))</f>
        <v/>
      </c>
      <c r="S21" s="13" t="str" cm="1">
        <f t="array" aca="1" ref="S21"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Landing page A/B test
👤 Jack Moore    📅 15 Oct
⚠ OVERDUE   [MKT]   #data #web   · 20% done</v>
      </c>
      <c r="T21" s="13">
        <f>IFERROR(MATCH(tblTasks[[#This Row],[Priority]],lstPriority,0),9)*100000+IF(tblTasks[[#This Row],[Due Date]]="",99999,tblTasks[[#This Row],[Due Date]]-DATE(2000,1,1))</f>
        <v>209784</v>
      </c>
      <c r="U21" s="13">
        <f>IF(tblTasks[[#This Row],[Due Date]]="",99999999,tblTasks[[#This Row],[Due Date]])</f>
        <v>46310</v>
      </c>
      <c r="V21" s="13">
        <f>SUBTOTAL(103,tblTasks[[#This Row],[Task]])</f>
        <v>1</v>
      </c>
    </row>
    <row r="22" spans="2:22" x14ac:dyDescent="0.35">
      <c r="B22" s="13" t="str">
        <f>"T-"&amp;TEXT(ROW()-ROW(tblTasks[[#Headers],[ID]]),"000")</f>
        <v>T-016</v>
      </c>
      <c r="C22" s="31" t="s">
        <v>165</v>
      </c>
      <c r="D22" s="7" t="s">
        <v>106</v>
      </c>
      <c r="E22" s="7" t="s">
        <v>71</v>
      </c>
      <c r="F22" s="7" t="s">
        <v>14</v>
      </c>
      <c r="G22" s="7" t="s">
        <v>19</v>
      </c>
      <c r="H22" s="16">
        <v>46284</v>
      </c>
      <c r="I22" s="16">
        <v>46296</v>
      </c>
      <c r="J22" s="25">
        <v>1</v>
      </c>
      <c r="K22" s="7" t="s">
        <v>166</v>
      </c>
      <c r="L22" s="7"/>
      <c r="M22" s="7" t="s">
        <v>71</v>
      </c>
      <c r="N22" s="16">
        <v>46284</v>
      </c>
      <c r="O22" s="16">
        <v>46295</v>
      </c>
      <c r="P22" s="29" cm="1">
        <f t="array" aca="1" ref="P22" ca="1">IF(OR(tblTasks[[#This Row],[Task]]="",tblTasks[[#This Row],[Due Date]]="",tblTasks[[#This Row],[Status]]=DoneStatus),"",tblTasks[[#This Row],[Due Date]]-TODAY())</f>
        <v>-16</v>
      </c>
      <c r="Q22" s="13" t="str" cm="1">
        <f t="array" aca="1" ref="Q22" ca="1">IF(tblTasks[[#This Row],[Task]]="","",IF(tblTasks[[#This Row],[Status]]=DoneStatus,"Done",IF(tblTasks[[#This Row],[Due Date]]="","No date",IF(tblTasks[[#This Row],[Due Date]]&lt;TODAY(),"Overdue",IF(tblTasks[[#This Row],[Due Date]]-TODAY()&lt;=7,"Due soon","On track")))))</f>
        <v>Overdue</v>
      </c>
      <c r="R22" s="27" t="str" cm="1">
        <f t="array" ref="R22">IF(OR(tblTasks[[#This Row],[Status]]&lt;&gt;DoneStatus,tblTasks[[#This Row],[Completed On]]="",tblTasks[[#This Row],[Due Date]]=""),"",IF(tblTasks[[#This Row],[Completed On]]&lt;=tblTasks[[#This Row],[Due Date]],1,0))</f>
        <v/>
      </c>
      <c r="S22" s="13" t="str" cm="1">
        <f t="array" aca="1" ref="S22"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Budget approval
👤 Ravi Kumar    📅 1 Oct
⚠ OVERDUE   [MKT]   #finance   · 100% done</v>
      </c>
      <c r="T22" s="13">
        <f>IFERROR(MATCH(tblTasks[[#This Row],[Priority]],lstPriority,0),9)*100000+IF(tblTasks[[#This Row],[Due Date]]="",99999,tblTasks[[#This Row],[Due Date]]-DATE(2000,1,1))</f>
        <v>109770</v>
      </c>
      <c r="U22" s="13">
        <f>IF(tblTasks[[#This Row],[Due Date]]="",99999999,tblTasks[[#This Row],[Due Date]])</f>
        <v>46296</v>
      </c>
      <c r="V22" s="13">
        <f>SUBTOTAL(103,tblTasks[[#This Row],[Task]])</f>
        <v>1</v>
      </c>
    </row>
    <row r="23" spans="2:22" x14ac:dyDescent="0.35">
      <c r="B23" s="13" t="str">
        <f>"T-"&amp;TEXT(ROW()-ROW(tblTasks[[#Headers],[ID]]),"000")</f>
        <v>T-017</v>
      </c>
      <c r="C23" s="31" t="s">
        <v>167</v>
      </c>
      <c r="D23" s="7" t="s">
        <v>106</v>
      </c>
      <c r="E23" s="7" t="s">
        <v>82</v>
      </c>
      <c r="F23" s="7" t="s">
        <v>6</v>
      </c>
      <c r="G23" s="7" t="s">
        <v>23</v>
      </c>
      <c r="H23" s="16">
        <v>46311</v>
      </c>
      <c r="I23" s="16">
        <v>46324</v>
      </c>
      <c r="J23" s="25">
        <v>0</v>
      </c>
      <c r="K23" s="7" t="s">
        <v>168</v>
      </c>
      <c r="L23" s="7"/>
      <c r="M23" s="7" t="s">
        <v>51</v>
      </c>
      <c r="N23" s="16">
        <v>46311</v>
      </c>
      <c r="O23" s="16"/>
      <c r="P23" s="29" cm="1">
        <f t="array" aca="1" ref="P23" ca="1">IF(OR(tblTasks[[#This Row],[Task]]="",tblTasks[[#This Row],[Due Date]]="",tblTasks[[#This Row],[Status]]=DoneStatus),"",tblTasks[[#This Row],[Due Date]]-TODAY())</f>
        <v>12</v>
      </c>
      <c r="Q23" s="13" t="str" cm="1">
        <f t="array" aca="1" ref="Q23" ca="1">IF(tblTasks[[#This Row],[Task]]="","",IF(tblTasks[[#This Row],[Status]]=DoneStatus,"Done",IF(tblTasks[[#This Row],[Due Date]]="","No date",IF(tblTasks[[#This Row],[Due Date]]&lt;TODAY(),"Overdue",IF(tblTasks[[#This Row],[Due Date]]-TODAY()&lt;=7,"Due soon","On track")))))</f>
        <v>On track</v>
      </c>
      <c r="R23" s="27" t="str" cm="1">
        <f t="array" ref="R23">IF(OR(tblTasks[[#This Row],[Status]]&lt;&gt;DoneStatus,tblTasks[[#This Row],[Completed On]]="",tblTasks[[#This Row],[Due Date]]=""),"",IF(tblTasks[[#This Row],[Completed On]]&lt;=tblTasks[[#This Row],[Due Date]],1,0))</f>
        <v/>
      </c>
      <c r="S23" s="13" t="str" cm="1">
        <f t="array" aca="1" ref="S23"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Press release draft
👤 Aisha Bello    📅 29 Oct
[MKT]   #pr</v>
      </c>
      <c r="T23" s="13">
        <f>IFERROR(MATCH(tblTasks[[#This Row],[Priority]],lstPriority,0),9)*100000+IF(tblTasks[[#This Row],[Due Date]]="",99999,tblTasks[[#This Row],[Due Date]]-DATE(2000,1,1))</f>
        <v>309798</v>
      </c>
      <c r="U23" s="13">
        <f>IF(tblTasks[[#This Row],[Due Date]]="",99999999,tblTasks[[#This Row],[Due Date]])</f>
        <v>46324</v>
      </c>
      <c r="V23" s="13">
        <f>SUBTOTAL(103,tblTasks[[#This Row],[Task]])</f>
        <v>1</v>
      </c>
    </row>
    <row r="24" spans="2:22" x14ac:dyDescent="0.35">
      <c r="B24" s="13" t="str">
        <f>"T-"&amp;TEXT(ROW()-ROW(tblTasks[[#Headers],[ID]]),"000")</f>
        <v>T-018</v>
      </c>
      <c r="C24" s="31" t="s">
        <v>169</v>
      </c>
      <c r="D24" s="7" t="s">
        <v>109</v>
      </c>
      <c r="E24" s="7" t="s">
        <v>55</v>
      </c>
      <c r="F24" s="7" t="s">
        <v>8</v>
      </c>
      <c r="G24" s="7" t="s">
        <v>19</v>
      </c>
      <c r="H24" s="16">
        <v>46264</v>
      </c>
      <c r="I24" s="16">
        <v>46316</v>
      </c>
      <c r="J24" s="25">
        <v>0.7</v>
      </c>
      <c r="K24" s="7" t="s">
        <v>170</v>
      </c>
      <c r="L24" s="7"/>
      <c r="M24" s="7" t="s">
        <v>55</v>
      </c>
      <c r="N24" s="16">
        <v>46262</v>
      </c>
      <c r="O24" s="16"/>
      <c r="P24" s="29" cm="1">
        <f t="array" aca="1" ref="P24" ca="1">IF(OR(tblTasks[[#This Row],[Task]]="",tblTasks[[#This Row],[Due Date]]="",tblTasks[[#This Row],[Status]]=DoneStatus),"",tblTasks[[#This Row],[Due Date]]-TODAY())</f>
        <v>4</v>
      </c>
      <c r="Q24" s="13" t="str" cm="1">
        <f t="array" aca="1" ref="Q24" ca="1">IF(tblTasks[[#This Row],[Task]]="","",IF(tblTasks[[#This Row],[Status]]=DoneStatus,"Done",IF(tblTasks[[#This Row],[Due Date]]="","No date",IF(tblTasks[[#This Row],[Due Date]]&lt;TODAY(),"Overdue",IF(tblTasks[[#This Row],[Due Date]]-TODAY()&lt;=7,"Due soon","On track")))))</f>
        <v>Due soon</v>
      </c>
      <c r="R24" s="27" t="str" cm="1">
        <f t="array" ref="R24">IF(OR(tblTasks[[#This Row],[Status]]&lt;&gt;DoneStatus,tblTasks[[#This Row],[Completed On]]="",tblTasks[[#This Row],[Due Date]]=""),"",IF(tblTasks[[#This Row],[Completed On]]&lt;=tblTasks[[#This Row],[Due Date]],1,0))</f>
        <v/>
      </c>
      <c r="S24" s="13" t="str" cm="1">
        <f t="array" aca="1" ref="S24"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Offline sync engine
👤 Omar Haddad    📅 21 Oct
[APP]   #core   · 70% done</v>
      </c>
      <c r="T24" s="13">
        <f>IFERROR(MATCH(tblTasks[[#This Row],[Priority]],lstPriority,0),9)*100000+IF(tblTasks[[#This Row],[Due Date]]="",99999,tblTasks[[#This Row],[Due Date]]-DATE(2000,1,1))</f>
        <v>109790</v>
      </c>
      <c r="U24" s="13">
        <f>IF(tblTasks[[#This Row],[Due Date]]="",99999999,tblTasks[[#This Row],[Due Date]])</f>
        <v>46316</v>
      </c>
      <c r="V24" s="13">
        <f>SUBTOTAL(103,tblTasks[[#This Row],[Task]])</f>
        <v>1</v>
      </c>
    </row>
    <row r="25" spans="2:22" x14ac:dyDescent="0.35">
      <c r="B25" s="13" t="str">
        <f>"T-"&amp;TEXT(ROW()-ROW(tblTasks[[#Headers],[ID]]),"000")</f>
        <v>T-019</v>
      </c>
      <c r="C25" s="31" t="s">
        <v>171</v>
      </c>
      <c r="D25" s="7" t="s">
        <v>109</v>
      </c>
      <c r="E25" s="7" t="s">
        <v>55</v>
      </c>
      <c r="F25" s="7" t="s">
        <v>10</v>
      </c>
      <c r="G25" s="7" t="s">
        <v>21</v>
      </c>
      <c r="H25" s="16">
        <v>46274</v>
      </c>
      <c r="I25" s="16">
        <v>46312</v>
      </c>
      <c r="J25" s="25">
        <v>0.9</v>
      </c>
      <c r="K25" s="7" t="s">
        <v>144</v>
      </c>
      <c r="L25" s="7"/>
      <c r="M25" s="7" t="s">
        <v>55</v>
      </c>
      <c r="N25" s="16">
        <v>46272</v>
      </c>
      <c r="O25" s="16"/>
      <c r="P25" s="29" cm="1">
        <f t="array" aca="1" ref="P25" ca="1">IF(OR(tblTasks[[#This Row],[Task]]="",tblTasks[[#This Row],[Due Date]]="",tblTasks[[#This Row],[Status]]=DoneStatus),"",tblTasks[[#This Row],[Due Date]]-TODAY())</f>
        <v>0</v>
      </c>
      <c r="Q25" s="13" t="str" cm="1">
        <f t="array" aca="1" ref="Q25" ca="1">IF(tblTasks[[#This Row],[Task]]="","",IF(tblTasks[[#This Row],[Status]]=DoneStatus,"Done",IF(tblTasks[[#This Row],[Due Date]]="","No date",IF(tblTasks[[#This Row],[Due Date]]&lt;TODAY(),"Overdue",IF(tblTasks[[#This Row],[Due Date]]-TODAY()&lt;=7,"Due soon","On track")))))</f>
        <v>Due soon</v>
      </c>
      <c r="R25" s="27" t="str" cm="1">
        <f t="array" ref="R25">IF(OR(tblTasks[[#This Row],[Status]]&lt;&gt;DoneStatus,tblTasks[[#This Row],[Completed On]]="",tblTasks[[#This Row],[Due Date]]=""),"",IF(tblTasks[[#This Row],[Completed On]]&lt;=tblTasks[[#This Row],[Due Date]],1,0))</f>
        <v/>
      </c>
      <c r="S25" s="13" t="str" cm="1">
        <f t="array" aca="1" ref="S25"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Push notification service
👤 Omar Haddad    📅 17 Oct
[APP]   #backend   · 90% done</v>
      </c>
      <c r="T25" s="13">
        <f>IFERROR(MATCH(tblTasks[[#This Row],[Priority]],lstPriority,0),9)*100000+IF(tblTasks[[#This Row],[Due Date]]="",99999,tblTasks[[#This Row],[Due Date]]-DATE(2000,1,1))</f>
        <v>209786</v>
      </c>
      <c r="U25" s="13">
        <f>IF(tblTasks[[#This Row],[Due Date]]="",99999999,tblTasks[[#This Row],[Due Date]])</f>
        <v>46312</v>
      </c>
      <c r="V25" s="13">
        <f>SUBTOTAL(103,tblTasks[[#This Row],[Task]])</f>
        <v>1</v>
      </c>
    </row>
    <row r="26" spans="2:22" x14ac:dyDescent="0.35">
      <c r="B26" s="13" t="str">
        <f>"T-"&amp;TEXT(ROW()-ROW(tblTasks[[#Headers],[ID]]),"000")</f>
        <v>T-020</v>
      </c>
      <c r="C26" s="31" t="s">
        <v>172</v>
      </c>
      <c r="D26" s="7" t="s">
        <v>109</v>
      </c>
      <c r="E26" s="7" t="s">
        <v>75</v>
      </c>
      <c r="F26" s="7" t="s">
        <v>14</v>
      </c>
      <c r="G26" s="7" t="s">
        <v>23</v>
      </c>
      <c r="H26" s="16">
        <v>46269</v>
      </c>
      <c r="I26" s="16">
        <v>46304</v>
      </c>
      <c r="J26" s="25">
        <v>1</v>
      </c>
      <c r="K26" s="7" t="s">
        <v>136</v>
      </c>
      <c r="L26" s="7"/>
      <c r="M26" s="7" t="s">
        <v>51</v>
      </c>
      <c r="N26" s="16">
        <v>46267</v>
      </c>
      <c r="O26" s="16">
        <v>46303</v>
      </c>
      <c r="P26" s="29" cm="1">
        <f t="array" aca="1" ref="P26" ca="1">IF(OR(tblTasks[[#This Row],[Task]]="",tblTasks[[#This Row],[Due Date]]="",tblTasks[[#This Row],[Status]]=DoneStatus),"",tblTasks[[#This Row],[Due Date]]-TODAY())</f>
        <v>-8</v>
      </c>
      <c r="Q26" s="13" t="str" cm="1">
        <f t="array" aca="1" ref="Q26" ca="1">IF(tblTasks[[#This Row],[Task]]="","",IF(tblTasks[[#This Row],[Status]]=DoneStatus,"Done",IF(tblTasks[[#This Row],[Due Date]]="","No date",IF(tblTasks[[#This Row],[Due Date]]&lt;TODAY(),"Overdue",IF(tblTasks[[#This Row],[Due Date]]-TODAY()&lt;=7,"Due soon","On track")))))</f>
        <v>Overdue</v>
      </c>
      <c r="R26" s="27" t="str" cm="1">
        <f t="array" ref="R26">IF(OR(tblTasks[[#This Row],[Status]]&lt;&gt;DoneStatus,tblTasks[[#This Row],[Completed On]]="",tblTasks[[#This Row],[Due Date]]=""),"",IF(tblTasks[[#This Row],[Completed On]]&lt;=tblTasks[[#This Row],[Due Date]],1,0))</f>
        <v/>
      </c>
      <c r="S26" s="13" t="str" cm="1">
        <f t="array" aca="1" ref="S26"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Dark theme UI
👤 Nora Fischer    📅 9 Oct
⚠ OVERDUE   [APP]   #design   · 100% done</v>
      </c>
      <c r="T26" s="13">
        <f>IFERROR(MATCH(tblTasks[[#This Row],[Priority]],lstPriority,0),9)*100000+IF(tblTasks[[#This Row],[Due Date]]="",99999,tblTasks[[#This Row],[Due Date]]-DATE(2000,1,1))</f>
        <v>309778</v>
      </c>
      <c r="U26" s="13">
        <f>IF(tblTasks[[#This Row],[Due Date]]="",99999999,tblTasks[[#This Row],[Due Date]])</f>
        <v>46304</v>
      </c>
      <c r="V26" s="13">
        <f>SUBTOTAL(103,tblTasks[[#This Row],[Task]])</f>
        <v>1</v>
      </c>
    </row>
    <row r="27" spans="2:22" x14ac:dyDescent="0.35">
      <c r="B27" s="13" t="str">
        <f>"T-"&amp;TEXT(ROW()-ROW(tblTasks[[#Headers],[ID]]),"000")</f>
        <v>T-021</v>
      </c>
      <c r="C27" s="31" t="s">
        <v>173</v>
      </c>
      <c r="D27" s="7" t="s">
        <v>109</v>
      </c>
      <c r="E27" s="7" t="s">
        <v>85</v>
      </c>
      <c r="F27" s="7" t="s">
        <v>8</v>
      </c>
      <c r="G27" s="7" t="s">
        <v>21</v>
      </c>
      <c r="H27" s="16">
        <v>46291</v>
      </c>
      <c r="I27" s="16">
        <v>46319</v>
      </c>
      <c r="J27" s="25">
        <v>0.5</v>
      </c>
      <c r="K27" s="7" t="s">
        <v>174</v>
      </c>
      <c r="L27" s="7"/>
      <c r="M27" s="7" t="s">
        <v>85</v>
      </c>
      <c r="N27" s="16">
        <v>46291</v>
      </c>
      <c r="O27" s="16"/>
      <c r="P27" s="29" cm="1">
        <f t="array" aca="1" ref="P27" ca="1">IF(OR(tblTasks[[#This Row],[Task]]="",tblTasks[[#This Row],[Due Date]]="",tblTasks[[#This Row],[Status]]=DoneStatus),"",tblTasks[[#This Row],[Due Date]]-TODAY())</f>
        <v>7</v>
      </c>
      <c r="Q27" s="13" t="str" cm="1">
        <f t="array" aca="1" ref="Q27" ca="1">IF(tblTasks[[#This Row],[Task]]="","",IF(tblTasks[[#This Row],[Status]]=DoneStatus,"Done",IF(tblTasks[[#This Row],[Due Date]]="","No date",IF(tblTasks[[#This Row],[Due Date]]&lt;TODAY(),"Overdue",IF(tblTasks[[#This Row],[Due Date]]-TODAY()&lt;=7,"Due soon","On track")))))</f>
        <v>Due soon</v>
      </c>
      <c r="R27" s="27" t="str" cm="1">
        <f t="array" ref="R27">IF(OR(tblTasks[[#This Row],[Status]]&lt;&gt;DoneStatus,tblTasks[[#This Row],[Completed On]]="",tblTasks[[#This Row],[Due Date]]=""),"",IF(tblTasks[[#This Row],[Completed On]]&lt;=tblTasks[[#This Row],[Due Date]],1,0))</f>
        <v/>
      </c>
      <c r="S27" s="13" t="str" cm="1">
        <f t="array" aca="1" ref="S27"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Regression test suite
👤 Tom Becker    📅 24 Oct
[APP]   #qa   · 50% done</v>
      </c>
      <c r="T27" s="13">
        <f>IFERROR(MATCH(tblTasks[[#This Row],[Priority]],lstPriority,0),9)*100000+IF(tblTasks[[#This Row],[Due Date]]="",99999,tblTasks[[#This Row],[Due Date]]-DATE(2000,1,1))</f>
        <v>209793</v>
      </c>
      <c r="U27" s="13">
        <f>IF(tblTasks[[#This Row],[Due Date]]="",99999999,tblTasks[[#This Row],[Due Date]])</f>
        <v>46319</v>
      </c>
      <c r="V27" s="13">
        <f>SUBTOTAL(103,tblTasks[[#This Row],[Task]])</f>
        <v>1</v>
      </c>
    </row>
    <row r="28" spans="2:22" x14ac:dyDescent="0.35">
      <c r="B28" s="13" t="str">
        <f>"T-"&amp;TEXT(ROW()-ROW(tblTasks[[#Headers],[ID]]),"000")</f>
        <v>T-022</v>
      </c>
      <c r="C28" s="31" t="s">
        <v>175</v>
      </c>
      <c r="D28" s="7" t="s">
        <v>109</v>
      </c>
      <c r="E28" s="7" t="s">
        <v>75</v>
      </c>
      <c r="F28" s="7" t="s">
        <v>6</v>
      </c>
      <c r="G28" s="7" t="s">
        <v>25</v>
      </c>
      <c r="H28" s="16">
        <v>46310</v>
      </c>
      <c r="I28" s="16">
        <v>46321</v>
      </c>
      <c r="J28" s="25">
        <v>0</v>
      </c>
      <c r="K28" s="7" t="s">
        <v>176</v>
      </c>
      <c r="L28" s="7"/>
      <c r="M28" s="7" t="s">
        <v>51</v>
      </c>
      <c r="N28" s="16">
        <v>46308</v>
      </c>
      <c r="O28" s="16"/>
      <c r="P28" s="29" cm="1">
        <f t="array" aca="1" ref="P28" ca="1">IF(OR(tblTasks[[#This Row],[Task]]="",tblTasks[[#This Row],[Due Date]]="",tblTasks[[#This Row],[Status]]=DoneStatus),"",tblTasks[[#This Row],[Due Date]]-TODAY())</f>
        <v>9</v>
      </c>
      <c r="Q28" s="13" t="str" cm="1">
        <f t="array" aca="1" ref="Q28" ca="1">IF(tblTasks[[#This Row],[Task]]="","",IF(tblTasks[[#This Row],[Status]]=DoneStatus,"Done",IF(tblTasks[[#This Row],[Due Date]]="","No date",IF(tblTasks[[#This Row],[Due Date]]&lt;TODAY(),"Overdue",IF(tblTasks[[#This Row],[Due Date]]-TODAY()&lt;=7,"Due soon","On track")))))</f>
        <v>On track</v>
      </c>
      <c r="R28" s="27" t="str" cm="1">
        <f t="array" ref="R28">IF(OR(tblTasks[[#This Row],[Status]]&lt;&gt;DoneStatus,tblTasks[[#This Row],[Completed On]]="",tblTasks[[#This Row],[Due Date]]=""),"",IF(tblTasks[[#This Row],[Completed On]]&lt;=tblTasks[[#This Row],[Due Date]],1,0))</f>
        <v/>
      </c>
      <c r="S28" s="13" t="str" cm="1">
        <f t="array" aca="1" ref="S28"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App store screenshots
👤 Nora Fischer    📅 26 Oct
[APP]   #store</v>
      </c>
      <c r="T28" s="13">
        <f>IFERROR(MATCH(tblTasks[[#This Row],[Priority]],lstPriority,0),9)*100000+IF(tblTasks[[#This Row],[Due Date]]="",99999,tblTasks[[#This Row],[Due Date]]-DATE(2000,1,1))</f>
        <v>409795</v>
      </c>
      <c r="U28" s="13">
        <f>IF(tblTasks[[#This Row],[Due Date]]="",99999999,tblTasks[[#This Row],[Due Date]])</f>
        <v>46321</v>
      </c>
      <c r="V28" s="13">
        <f>SUBTOTAL(103,tblTasks[[#This Row],[Task]])</f>
        <v>1</v>
      </c>
    </row>
    <row r="29" spans="2:22" x14ac:dyDescent="0.35">
      <c r="B29" s="13" t="str">
        <f>"T-"&amp;TEXT(ROW()-ROW(tblTasks[[#Headers],[ID]]),"000")</f>
        <v>T-023</v>
      </c>
      <c r="C29" s="31" t="s">
        <v>177</v>
      </c>
      <c r="D29" s="7" t="s">
        <v>109</v>
      </c>
      <c r="E29" s="7" t="s">
        <v>85</v>
      </c>
      <c r="F29" s="7" t="s">
        <v>14</v>
      </c>
      <c r="G29" s="7" t="s">
        <v>23</v>
      </c>
      <c r="H29" s="16">
        <v>46279</v>
      </c>
      <c r="I29" s="16">
        <v>46301</v>
      </c>
      <c r="J29" s="25">
        <v>1</v>
      </c>
      <c r="K29" s="7" t="s">
        <v>174</v>
      </c>
      <c r="L29" s="7"/>
      <c r="M29" s="7" t="s">
        <v>85</v>
      </c>
      <c r="N29" s="16">
        <v>46277</v>
      </c>
      <c r="O29" s="16">
        <v>46302</v>
      </c>
      <c r="P29" s="29" cm="1">
        <f t="array" aca="1" ref="P29" ca="1">IF(OR(tblTasks[[#This Row],[Task]]="",tblTasks[[#This Row],[Due Date]]="",tblTasks[[#This Row],[Status]]=DoneStatus),"",tblTasks[[#This Row],[Due Date]]-TODAY())</f>
        <v>-11</v>
      </c>
      <c r="Q29" s="13" t="str" cm="1">
        <f t="array" aca="1" ref="Q29" ca="1">IF(tblTasks[[#This Row],[Task]]="","",IF(tblTasks[[#This Row],[Status]]=DoneStatus,"Done",IF(tblTasks[[#This Row],[Due Date]]="","No date",IF(tblTasks[[#This Row],[Due Date]]&lt;TODAY(),"Overdue",IF(tblTasks[[#This Row],[Due Date]]-TODAY()&lt;=7,"Due soon","On track")))))</f>
        <v>Overdue</v>
      </c>
      <c r="R29" s="27" t="str" cm="1">
        <f t="array" ref="R29">IF(OR(tblTasks[[#This Row],[Status]]&lt;&gt;DoneStatus,tblTasks[[#This Row],[Completed On]]="",tblTasks[[#This Row],[Due Date]]=""),"",IF(tblTasks[[#This Row],[Completed On]]&lt;=tblTasks[[#This Row],[Due Date]],1,0))</f>
        <v/>
      </c>
      <c r="S29" s="13" t="str" cm="1">
        <f t="array" aca="1" ref="S29"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Crash reporting setup
👤 Tom Becker    📅 6 Oct
⚠ OVERDUE   [APP]   #qa   · 100% done</v>
      </c>
      <c r="T29" s="13">
        <f>IFERROR(MATCH(tblTasks[[#This Row],[Priority]],lstPriority,0),9)*100000+IF(tblTasks[[#This Row],[Due Date]]="",99999,tblTasks[[#This Row],[Due Date]]-DATE(2000,1,1))</f>
        <v>309775</v>
      </c>
      <c r="U29" s="13">
        <f>IF(tblTasks[[#This Row],[Due Date]]="",99999999,tblTasks[[#This Row],[Due Date]])</f>
        <v>46301</v>
      </c>
      <c r="V29" s="13">
        <f>SUBTOTAL(103,tblTasks[[#This Row],[Task]])</f>
        <v>1</v>
      </c>
    </row>
    <row r="30" spans="2:22" x14ac:dyDescent="0.35">
      <c r="B30" s="13" t="str">
        <f>"T-"&amp;TEXT(ROW()-ROW(tblTasks[[#Headers],[ID]]),"000")</f>
        <v>T-024</v>
      </c>
      <c r="C30" s="31" t="s">
        <v>178</v>
      </c>
      <c r="D30" s="7" t="s">
        <v>109</v>
      </c>
      <c r="E30" s="7" t="s">
        <v>67</v>
      </c>
      <c r="F30" s="7" t="s">
        <v>6</v>
      </c>
      <c r="G30" s="7" t="s">
        <v>21</v>
      </c>
      <c r="H30" s="16">
        <v>46305</v>
      </c>
      <c r="I30" s="16">
        <v>46309</v>
      </c>
      <c r="J30" s="25">
        <v>0</v>
      </c>
      <c r="K30" s="7" t="s">
        <v>179</v>
      </c>
      <c r="L30" s="7"/>
      <c r="M30" s="7" t="s">
        <v>67</v>
      </c>
      <c r="N30" s="16">
        <v>46305</v>
      </c>
      <c r="O30" s="16"/>
      <c r="P30" s="29" cm="1">
        <f t="array" aca="1" ref="P30" ca="1">IF(OR(tblTasks[[#This Row],[Task]]="",tblTasks[[#This Row],[Due Date]]="",tblTasks[[#This Row],[Status]]=DoneStatus),"",tblTasks[[#This Row],[Due Date]]-TODAY())</f>
        <v>-3</v>
      </c>
      <c r="Q30" s="13" t="str" cm="1">
        <f t="array" aca="1" ref="Q30" ca="1">IF(tblTasks[[#This Row],[Task]]="","",IF(tblTasks[[#This Row],[Status]]=DoneStatus,"Done",IF(tblTasks[[#This Row],[Due Date]]="","No date",IF(tblTasks[[#This Row],[Due Date]]&lt;TODAY(),"Overdue",IF(tblTasks[[#This Row],[Due Date]]-TODAY()&lt;=7,"Due soon","On track")))))</f>
        <v>Overdue</v>
      </c>
      <c r="R30" s="27" t="str" cm="1">
        <f t="array" ref="R30">IF(OR(tblTasks[[#This Row],[Status]]&lt;&gt;DoneStatus,tblTasks[[#This Row],[Completed On]]="",tblTasks[[#This Row],[Due Date]]=""),"",IF(tblTasks[[#This Row],[Completed On]]&lt;=tblTasks[[#This Row],[Due Date]],1,0))</f>
        <v/>
      </c>
      <c r="S30" s="13" t="str" cm="1">
        <f t="array" aca="1" ref="S30"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Beta tester feedback round
👤 Maya Chen    📅 14 Oct
⚠ OVERDUE   [APP]   #feedback</v>
      </c>
      <c r="T30" s="13">
        <f>IFERROR(MATCH(tblTasks[[#This Row],[Priority]],lstPriority,0),9)*100000+IF(tblTasks[[#This Row],[Due Date]]="",99999,tblTasks[[#This Row],[Due Date]]-DATE(2000,1,1))</f>
        <v>209783</v>
      </c>
      <c r="U30" s="13">
        <f>IF(tblTasks[[#This Row],[Due Date]]="",99999999,tblTasks[[#This Row],[Due Date]])</f>
        <v>46309</v>
      </c>
      <c r="V30" s="13">
        <f>SUBTOTAL(103,tblTasks[[#This Row],[Task]])</f>
        <v>1</v>
      </c>
    </row>
    <row r="31" spans="2:22" x14ac:dyDescent="0.35">
      <c r="B31" s="13" t="str">
        <f>"T-"&amp;TEXT(ROW()-ROW(tblTasks[[#Headers],[ID]]),"000")</f>
        <v>T-025</v>
      </c>
      <c r="C31" s="31" t="s">
        <v>180</v>
      </c>
      <c r="D31" s="7" t="s">
        <v>109</v>
      </c>
      <c r="E31" s="7" t="s">
        <v>82</v>
      </c>
      <c r="F31" s="7" t="s">
        <v>6</v>
      </c>
      <c r="G31" s="7" t="s">
        <v>23</v>
      </c>
      <c r="H31" s="16">
        <v>46314</v>
      </c>
      <c r="I31" s="16">
        <v>46322</v>
      </c>
      <c r="J31" s="25">
        <v>0</v>
      </c>
      <c r="K31" s="7" t="s">
        <v>181</v>
      </c>
      <c r="L31" s="7"/>
      <c r="M31" s="7" t="s">
        <v>82</v>
      </c>
      <c r="N31" s="16">
        <v>46312</v>
      </c>
      <c r="O31" s="16"/>
      <c r="P31" s="29" cm="1">
        <f t="array" aca="1" ref="P31" ca="1">IF(OR(tblTasks[[#This Row],[Task]]="",tblTasks[[#This Row],[Due Date]]="",tblTasks[[#This Row],[Status]]=DoneStatus),"",tblTasks[[#This Row],[Due Date]]-TODAY())</f>
        <v>10</v>
      </c>
      <c r="Q31" s="13" t="str" cm="1">
        <f t="array" aca="1" ref="Q31" ca="1">IF(tblTasks[[#This Row],[Task]]="","",IF(tblTasks[[#This Row],[Status]]=DoneStatus,"Done",IF(tblTasks[[#This Row],[Due Date]]="","No date",IF(tblTasks[[#This Row],[Due Date]]&lt;TODAY(),"Overdue",IF(tblTasks[[#This Row],[Due Date]]-TODAY()&lt;=7,"Due soon","On track")))))</f>
        <v>On track</v>
      </c>
      <c r="R31" s="27" t="str" cm="1">
        <f t="array" ref="R31">IF(OR(tblTasks[[#This Row],[Status]]&lt;&gt;DoneStatus,tblTasks[[#This Row],[Completed On]]="",tblTasks[[#This Row],[Due Date]]=""),"",IF(tblTasks[[#This Row],[Completed On]]&lt;=tblTasks[[#This Row],[Due Date]],1,0))</f>
        <v/>
      </c>
      <c r="S31" s="13" t="str" cm="1">
        <f t="array" aca="1" ref="S31"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Release notes v2.0
👤 Aisha Bello    📅 27 Oct
[APP]   #docs</v>
      </c>
      <c r="T31" s="13">
        <f>IFERROR(MATCH(tblTasks[[#This Row],[Priority]],lstPriority,0),9)*100000+IF(tblTasks[[#This Row],[Due Date]]="",99999,tblTasks[[#This Row],[Due Date]]-DATE(2000,1,1))</f>
        <v>309796</v>
      </c>
      <c r="U31" s="13">
        <f>IF(tblTasks[[#This Row],[Due Date]]="",99999999,tblTasks[[#This Row],[Due Date]])</f>
        <v>46322</v>
      </c>
      <c r="V31" s="13">
        <f>SUBTOTAL(103,tblTasks[[#This Row],[Task]])</f>
        <v>1</v>
      </c>
    </row>
    <row r="32" spans="2:22" x14ac:dyDescent="0.35">
      <c r="B32" s="13" t="str">
        <f>"T-"&amp;TEXT(ROW()-ROW(tblTasks[[#Headers],[ID]]),"000")</f>
        <v>T-026</v>
      </c>
      <c r="C32" s="31" t="s">
        <v>182</v>
      </c>
      <c r="D32" s="7" t="s">
        <v>112</v>
      </c>
      <c r="E32" s="7" t="s">
        <v>67</v>
      </c>
      <c r="F32" s="7" t="s">
        <v>14</v>
      </c>
      <c r="G32" s="7" t="s">
        <v>21</v>
      </c>
      <c r="H32" s="16">
        <v>46294</v>
      </c>
      <c r="I32" s="16">
        <v>46302</v>
      </c>
      <c r="J32" s="25">
        <v>1</v>
      </c>
      <c r="K32" s="7" t="s">
        <v>183</v>
      </c>
      <c r="L32" s="7"/>
      <c r="M32" s="7" t="s">
        <v>67</v>
      </c>
      <c r="N32" s="16">
        <v>46293</v>
      </c>
      <c r="O32" s="16">
        <v>46301</v>
      </c>
      <c r="P32" s="29" cm="1">
        <f t="array" aca="1" ref="P32" ca="1">IF(OR(tblTasks[[#This Row],[Task]]="",tblTasks[[#This Row],[Due Date]]="",tblTasks[[#This Row],[Status]]=DoneStatus),"",tblTasks[[#This Row],[Due Date]]-TODAY())</f>
        <v>-10</v>
      </c>
      <c r="Q32" s="13" t="str" cm="1">
        <f t="array" aca="1" ref="Q32" ca="1">IF(tblTasks[[#This Row],[Task]]="","",IF(tblTasks[[#This Row],[Status]]=DoneStatus,"Done",IF(tblTasks[[#This Row],[Due Date]]="","No date",IF(tblTasks[[#This Row],[Due Date]]&lt;TODAY(),"Overdue",IF(tblTasks[[#This Row],[Due Date]]-TODAY()&lt;=7,"Due soon","On track")))))</f>
        <v>Overdue</v>
      </c>
      <c r="R32" s="27" t="str" cm="1">
        <f t="array" ref="R32">IF(OR(tblTasks[[#This Row],[Status]]&lt;&gt;DoneStatus,tblTasks[[#This Row],[Completed On]]="",tblTasks[[#This Row],[Due Date]]=""),"",IF(tblTasks[[#This Row],[Completed On]]&lt;=tblTasks[[#This Row],[Due Date]],1,0))</f>
        <v/>
      </c>
      <c r="S32" s="13" t="str" cm="1">
        <f t="array" aca="1" ref="S32"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Map current onboarding journey
👤 Maya Chen    📅 7 Oct
⚠ OVERDUE   [ONB]   #research   · 100% done</v>
      </c>
      <c r="T32" s="13">
        <f>IFERROR(MATCH(tblTasks[[#This Row],[Priority]],lstPriority,0),9)*100000+IF(tblTasks[[#This Row],[Due Date]]="",99999,tblTasks[[#This Row],[Due Date]]-DATE(2000,1,1))</f>
        <v>209776</v>
      </c>
      <c r="U32" s="13">
        <f>IF(tblTasks[[#This Row],[Due Date]]="",99999999,tblTasks[[#This Row],[Due Date]])</f>
        <v>46302</v>
      </c>
      <c r="V32" s="13">
        <f>SUBTOTAL(103,tblTasks[[#This Row],[Task]])</f>
        <v>1</v>
      </c>
    </row>
    <row r="33" spans="2:22" x14ac:dyDescent="0.35">
      <c r="B33" s="13" t="str">
        <f>"T-"&amp;TEXT(ROW()-ROW(tblTasks[[#Headers],[ID]]),"000")</f>
        <v>T-027</v>
      </c>
      <c r="C33" s="31" t="s">
        <v>184</v>
      </c>
      <c r="D33" s="7" t="s">
        <v>112</v>
      </c>
      <c r="E33" s="7" t="s">
        <v>82</v>
      </c>
      <c r="F33" s="7" t="s">
        <v>8</v>
      </c>
      <c r="G33" s="7" t="s">
        <v>23</v>
      </c>
      <c r="H33" s="16">
        <v>46301</v>
      </c>
      <c r="I33" s="16">
        <v>46321</v>
      </c>
      <c r="J33" s="25">
        <v>0.3</v>
      </c>
      <c r="K33" s="7" t="s">
        <v>156</v>
      </c>
      <c r="L33" s="7"/>
      <c r="M33" s="7" t="s">
        <v>82</v>
      </c>
      <c r="N33" s="16">
        <v>46300</v>
      </c>
      <c r="O33" s="16"/>
      <c r="P33" s="29" cm="1">
        <f t="array" aca="1" ref="P33" ca="1">IF(OR(tblTasks[[#This Row],[Task]]="",tblTasks[[#This Row],[Due Date]]="",tblTasks[[#This Row],[Status]]=DoneStatus),"",tblTasks[[#This Row],[Due Date]]-TODAY())</f>
        <v>9</v>
      </c>
      <c r="Q33" s="13" t="str" cm="1">
        <f t="array" aca="1" ref="Q33" ca="1">IF(tblTasks[[#This Row],[Task]]="","",IF(tblTasks[[#This Row],[Status]]=DoneStatus,"Done",IF(tblTasks[[#This Row],[Due Date]]="","No date",IF(tblTasks[[#This Row],[Due Date]]&lt;TODAY(),"Overdue",IF(tblTasks[[#This Row],[Due Date]]-TODAY()&lt;=7,"Due soon","On track")))))</f>
        <v>On track</v>
      </c>
      <c r="R33" s="27" t="str" cm="1">
        <f t="array" ref="R33">IF(OR(tblTasks[[#This Row],[Status]]&lt;&gt;DoneStatus,tblTasks[[#This Row],[Completed On]]="",tblTasks[[#This Row],[Due Date]]=""),"",IF(tblTasks[[#This Row],[Completed On]]&lt;=tblTasks[[#This Row],[Due Date]],1,0))</f>
        <v/>
      </c>
      <c r="S33" s="13" t="str" cm="1">
        <f t="array" aca="1" ref="S33"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Welcome email series
👤 Aisha Bello    📅 26 Oct
[ONB]   #email   · 30% done</v>
      </c>
      <c r="T33" s="13">
        <f>IFERROR(MATCH(tblTasks[[#This Row],[Priority]],lstPriority,0),9)*100000+IF(tblTasks[[#This Row],[Due Date]]="",99999,tblTasks[[#This Row],[Due Date]]-DATE(2000,1,1))</f>
        <v>309795</v>
      </c>
      <c r="U33" s="13">
        <f>IF(tblTasks[[#This Row],[Due Date]]="",99999999,tblTasks[[#This Row],[Due Date]])</f>
        <v>46321</v>
      </c>
      <c r="V33" s="13">
        <f>SUBTOTAL(103,tblTasks[[#This Row],[Task]])</f>
        <v>1</v>
      </c>
    </row>
    <row r="34" spans="2:22" x14ac:dyDescent="0.35">
      <c r="B34" s="13" t="str">
        <f>"T-"&amp;TEXT(ROW()-ROW(tblTasks[[#Headers],[ID]]),"000")</f>
        <v>T-028</v>
      </c>
      <c r="C34" s="31" t="s">
        <v>185</v>
      </c>
      <c r="D34" s="7" t="s">
        <v>112</v>
      </c>
      <c r="E34" s="7" t="s">
        <v>79</v>
      </c>
      <c r="F34" s="7" t="s">
        <v>6</v>
      </c>
      <c r="G34" s="7" t="s">
        <v>21</v>
      </c>
      <c r="H34" s="16">
        <v>46306</v>
      </c>
      <c r="I34" s="16">
        <v>46332</v>
      </c>
      <c r="J34" s="25">
        <v>0</v>
      </c>
      <c r="K34" s="7" t="s">
        <v>138</v>
      </c>
      <c r="L34" s="7"/>
      <c r="M34" s="7" t="s">
        <v>51</v>
      </c>
      <c r="N34" s="16">
        <v>46306</v>
      </c>
      <c r="O34" s="16"/>
      <c r="P34" s="29" cm="1">
        <f t="array" aca="1" ref="P34" ca="1">IF(OR(tblTasks[[#This Row],[Task]]="",tblTasks[[#This Row],[Due Date]]="",tblTasks[[#This Row],[Status]]=DoneStatus),"",tblTasks[[#This Row],[Due Date]]-TODAY())</f>
        <v>20</v>
      </c>
      <c r="Q34" s="13" t="str" cm="1">
        <f t="array" aca="1" ref="Q34" ca="1">IF(tblTasks[[#This Row],[Task]]="","",IF(tblTasks[[#This Row],[Status]]=DoneStatus,"Done",IF(tblTasks[[#This Row],[Due Date]]="","No date",IF(tblTasks[[#This Row],[Due Date]]&lt;TODAY(),"Overdue",IF(tblTasks[[#This Row],[Due Date]]-TODAY()&lt;=7,"Due soon","On track")))))</f>
        <v>On track</v>
      </c>
      <c r="R34" s="27" t="str" cm="1">
        <f t="array" ref="R34">IF(OR(tblTasks[[#This Row],[Status]]&lt;&gt;DoneStatus,tblTasks[[#This Row],[Completed On]]="",tblTasks[[#This Row],[Due Date]]=""),"",IF(tblTasks[[#This Row],[Completed On]]&lt;=tblTasks[[#This Row],[Due Date]],1,0))</f>
        <v/>
      </c>
      <c r="S34" s="13" t="str" cm="1">
        <f t="array" aca="1" ref="S34"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In-app product tour
👤 Diego Santos    📅 6 Nov
[ONB]   #frontend</v>
      </c>
      <c r="T34" s="13">
        <f>IFERROR(MATCH(tblTasks[[#This Row],[Priority]],lstPriority,0),9)*100000+IF(tblTasks[[#This Row],[Due Date]]="",99999,tblTasks[[#This Row],[Due Date]]-DATE(2000,1,1))</f>
        <v>209806</v>
      </c>
      <c r="U34" s="13">
        <f>IF(tblTasks[[#This Row],[Due Date]]="",99999999,tblTasks[[#This Row],[Due Date]])</f>
        <v>46332</v>
      </c>
      <c r="V34" s="13">
        <f>SUBTOTAL(103,tblTasks[[#This Row],[Task]])</f>
        <v>1</v>
      </c>
    </row>
    <row r="35" spans="2:22" x14ac:dyDescent="0.35">
      <c r="B35" s="13" t="str">
        <f>"T-"&amp;TEXT(ROW()-ROW(tblTasks[[#Headers],[ID]]),"000")</f>
        <v>T-029</v>
      </c>
      <c r="C35" s="31" t="s">
        <v>186</v>
      </c>
      <c r="D35" s="7" t="s">
        <v>112</v>
      </c>
      <c r="E35" s="7" t="s">
        <v>63</v>
      </c>
      <c r="F35" s="7" t="s">
        <v>10</v>
      </c>
      <c r="G35" s="7" t="s">
        <v>23</v>
      </c>
      <c r="H35" s="16">
        <v>46305</v>
      </c>
      <c r="I35" s="16">
        <v>46316</v>
      </c>
      <c r="J35" s="25">
        <v>0.8</v>
      </c>
      <c r="K35" s="7" t="s">
        <v>148</v>
      </c>
      <c r="L35" s="7"/>
      <c r="M35" s="7" t="s">
        <v>51</v>
      </c>
      <c r="N35" s="16">
        <v>46303</v>
      </c>
      <c r="O35" s="16"/>
      <c r="P35" s="29" cm="1">
        <f t="array" aca="1" ref="P35" ca="1">IF(OR(tblTasks[[#This Row],[Task]]="",tblTasks[[#This Row],[Due Date]]="",tblTasks[[#This Row],[Status]]=DoneStatus),"",tblTasks[[#This Row],[Due Date]]-TODAY())</f>
        <v>4</v>
      </c>
      <c r="Q35" s="13" t="str" cm="1">
        <f t="array" aca="1" ref="Q35" ca="1">IF(tblTasks[[#This Row],[Task]]="","",IF(tblTasks[[#This Row],[Status]]=DoneStatus,"Done",IF(tblTasks[[#This Row],[Due Date]]="","No date",IF(tblTasks[[#This Row],[Due Date]]&lt;TODAY(),"Overdue",IF(tblTasks[[#This Row],[Due Date]]-TODAY()&lt;=7,"Due soon","On track")))))</f>
        <v>Due soon</v>
      </c>
      <c r="R35" s="27" t="str" cm="1">
        <f t="array" ref="R35">IF(OR(tblTasks[[#This Row],[Status]]&lt;&gt;DoneStatus,tblTasks[[#This Row],[Completed On]]="",tblTasks[[#This Row],[Due Date]]=""),"",IF(tblTasks[[#This Row],[Completed On]]&lt;=tblTasks[[#This Row],[Due Date]],1,0))</f>
        <v/>
      </c>
      <c r="S35" s="13" t="str" cm="1">
        <f t="array" aca="1" ref="S35"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Onboarding success metrics
👤 Jack Moore    📅 21 Oct
[ONB]   #data   · 80% done</v>
      </c>
      <c r="T35" s="13">
        <f>IFERROR(MATCH(tblTasks[[#This Row],[Priority]],lstPriority,0),9)*100000+IF(tblTasks[[#This Row],[Due Date]]="",99999,tblTasks[[#This Row],[Due Date]]-DATE(2000,1,1))</f>
        <v>309790</v>
      </c>
      <c r="U35" s="13">
        <f>IF(tblTasks[[#This Row],[Due Date]]="",99999999,tblTasks[[#This Row],[Due Date]])</f>
        <v>46316</v>
      </c>
      <c r="V35" s="13">
        <f>SUBTOTAL(103,tblTasks[[#This Row],[Task]])</f>
        <v>1</v>
      </c>
    </row>
    <row r="36" spans="2:22" x14ac:dyDescent="0.35">
      <c r="B36" s="13" t="str">
        <f>"T-"&amp;TEXT(ROW()-ROW(tblTasks[[#Headers],[ID]]),"000")</f>
        <v>T-030</v>
      </c>
      <c r="C36" s="31" t="s">
        <v>187</v>
      </c>
      <c r="D36" s="7" t="s">
        <v>112</v>
      </c>
      <c r="E36" s="7" t="s">
        <v>67</v>
      </c>
      <c r="F36" s="7" t="s">
        <v>8</v>
      </c>
      <c r="G36" s="7" t="s">
        <v>23</v>
      </c>
      <c r="H36" s="16">
        <v>46304</v>
      </c>
      <c r="I36" s="16">
        <v>46314</v>
      </c>
      <c r="J36" s="25">
        <v>0.5</v>
      </c>
      <c r="K36" s="7" t="s">
        <v>183</v>
      </c>
      <c r="L36" s="7"/>
      <c r="M36" s="7" t="s">
        <v>51</v>
      </c>
      <c r="N36" s="16">
        <v>46304</v>
      </c>
      <c r="O36" s="16"/>
      <c r="P36" s="29" cm="1">
        <f t="array" aca="1" ref="P36" ca="1">IF(OR(tblTasks[[#This Row],[Task]]="",tblTasks[[#This Row],[Due Date]]="",tblTasks[[#This Row],[Status]]=DoneStatus),"",tblTasks[[#This Row],[Due Date]]-TODAY())</f>
        <v>2</v>
      </c>
      <c r="Q36" s="13" t="str" cm="1">
        <f t="array" aca="1" ref="Q36" ca="1">IF(tblTasks[[#This Row],[Task]]="","",IF(tblTasks[[#This Row],[Status]]=DoneStatus,"Done",IF(tblTasks[[#This Row],[Due Date]]="","No date",IF(tblTasks[[#This Row],[Due Date]]&lt;TODAY(),"Overdue",IF(tblTasks[[#This Row],[Due Date]]-TODAY()&lt;=7,"Due soon","On track")))))</f>
        <v>Due soon</v>
      </c>
      <c r="R36" s="27" t="str" cm="1">
        <f t="array" ref="R36">IF(OR(tblTasks[[#This Row],[Status]]&lt;&gt;DoneStatus,tblTasks[[#This Row],[Completed On]]="",tblTasks[[#This Row],[Due Date]]=""),"",IF(tblTasks[[#This Row],[Completed On]]&lt;=tblTasks[[#This Row],[Due Date]],1,0))</f>
        <v/>
      </c>
      <c r="S36" s="13" t="str" cm="1">
        <f t="array" aca="1" ref="S36"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Customer interview round
👤 Maya Chen    📅 19 Oct
[ONB]   #research   · 50% done</v>
      </c>
      <c r="T36" s="13">
        <f>IFERROR(MATCH(tblTasks[[#This Row],[Priority]],lstPriority,0),9)*100000+IF(tblTasks[[#This Row],[Due Date]]="",99999,tblTasks[[#This Row],[Due Date]]-DATE(2000,1,1))</f>
        <v>309788</v>
      </c>
      <c r="U36" s="13">
        <f>IF(tblTasks[[#This Row],[Due Date]]="",99999999,tblTasks[[#This Row],[Due Date]])</f>
        <v>46314</v>
      </c>
      <c r="V36" s="13">
        <f>SUBTOTAL(103,tblTasks[[#This Row],[Task]])</f>
        <v>1</v>
      </c>
    </row>
    <row r="37" spans="2:22" x14ac:dyDescent="0.35">
      <c r="B37" s="13" t="str">
        <f>"T-"&amp;TEXT(ROW()-ROW(tblTasks[[#Headers],[ID]]),"000")</f>
        <v>T-031</v>
      </c>
      <c r="C37" s="31" t="s">
        <v>188</v>
      </c>
      <c r="D37" s="7" t="s">
        <v>112</v>
      </c>
      <c r="E37" s="7" t="s">
        <v>82</v>
      </c>
      <c r="F37" s="7" t="s">
        <v>6</v>
      </c>
      <c r="G37" s="7" t="s">
        <v>25</v>
      </c>
      <c r="H37" s="16">
        <v>46311</v>
      </c>
      <c r="I37" s="16">
        <v>46342</v>
      </c>
      <c r="J37" s="25">
        <v>0</v>
      </c>
      <c r="K37" s="7" t="s">
        <v>181</v>
      </c>
      <c r="L37" s="7"/>
      <c r="M37" s="7" t="s">
        <v>82</v>
      </c>
      <c r="N37" s="16">
        <v>46309</v>
      </c>
      <c r="O37" s="16"/>
      <c r="P37" s="29" cm="1">
        <f t="array" aca="1" ref="P37" ca="1">IF(OR(tblTasks[[#This Row],[Task]]="",tblTasks[[#This Row],[Due Date]]="",tblTasks[[#This Row],[Status]]=DoneStatus),"",tblTasks[[#This Row],[Due Date]]-TODAY())</f>
        <v>30</v>
      </c>
      <c r="Q37" s="13" t="str" cm="1">
        <f t="array" aca="1" ref="Q37" ca="1">IF(tblTasks[[#This Row],[Task]]="","",IF(tblTasks[[#This Row],[Status]]=DoneStatus,"Done",IF(tblTasks[[#This Row],[Due Date]]="","No date",IF(tblTasks[[#This Row],[Due Date]]&lt;TODAY(),"Overdue",IF(tblTasks[[#This Row],[Due Date]]-TODAY()&lt;=7,"Due soon","On track")))))</f>
        <v>On track</v>
      </c>
      <c r="R37" s="27" t="str" cm="1">
        <f t="array" ref="R37">IF(OR(tblTasks[[#This Row],[Status]]&lt;&gt;DoneStatus,tblTasks[[#This Row],[Completed On]]="",tblTasks[[#This Row],[Due Date]]=""),"",IF(tblTasks[[#This Row],[Completed On]]&lt;=tblTasks[[#This Row],[Due Date]],1,0))</f>
        <v/>
      </c>
      <c r="S37" s="13" t="str" cm="1">
        <f t="array" aca="1" ref="S37"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Help center refresh
👤 Aisha Bello    📅 16 Nov
[ONB]   #docs</v>
      </c>
      <c r="T37" s="13">
        <f>IFERROR(MATCH(tblTasks[[#This Row],[Priority]],lstPriority,0),9)*100000+IF(tblTasks[[#This Row],[Due Date]]="",99999,tblTasks[[#This Row],[Due Date]]-DATE(2000,1,1))</f>
        <v>409816</v>
      </c>
      <c r="U37" s="13">
        <f>IF(tblTasks[[#This Row],[Due Date]]="",99999999,tblTasks[[#This Row],[Due Date]])</f>
        <v>46342</v>
      </c>
      <c r="V37" s="13">
        <f>SUBTOTAL(103,tblTasks[[#This Row],[Task]])</f>
        <v>1</v>
      </c>
    </row>
    <row r="38" spans="2:22" x14ac:dyDescent="0.35">
      <c r="B38" s="13" t="str">
        <f>"T-"&amp;TEXT(ROW()-ROW(tblTasks[[#Headers],[ID]]),"000")</f>
        <v>T-032</v>
      </c>
      <c r="C38" s="31" t="s">
        <v>189</v>
      </c>
      <c r="D38" s="7" t="s">
        <v>118</v>
      </c>
      <c r="E38" s="7" t="s">
        <v>51</v>
      </c>
      <c r="F38" s="7" t="s">
        <v>14</v>
      </c>
      <c r="G38" s="7" t="s">
        <v>23</v>
      </c>
      <c r="H38" s="16">
        <v>46313</v>
      </c>
      <c r="I38" s="16">
        <v>46312</v>
      </c>
      <c r="J38" s="25">
        <v>1</v>
      </c>
      <c r="K38" s="7" t="s">
        <v>190</v>
      </c>
      <c r="L38" s="7"/>
      <c r="M38" s="7" t="s">
        <v>51</v>
      </c>
      <c r="N38" s="16">
        <v>46312</v>
      </c>
      <c r="O38" s="16">
        <v>46312</v>
      </c>
      <c r="P38" s="29" cm="1">
        <f t="array" aca="1" ref="P38" ca="1">IF(OR(tblTasks[[#This Row],[Task]]="",tblTasks[[#This Row],[Due Date]]="",tblTasks[[#This Row],[Status]]=DoneStatus),"",tblTasks[[#This Row],[Due Date]]-TODAY())</f>
        <v>0</v>
      </c>
      <c r="Q38" s="13" t="str" cm="1">
        <f t="array" aca="1" ref="Q38" ca="1">IF(tblTasks[[#This Row],[Task]]="","",IF(tblTasks[[#This Row],[Status]]=DoneStatus,"Done",IF(tblTasks[[#This Row],[Due Date]]="","No date",IF(tblTasks[[#This Row],[Due Date]]&lt;TODAY(),"Overdue",IF(tblTasks[[#This Row],[Due Date]]-TODAY()&lt;=7,"Due soon","On track")))))</f>
        <v>Due soon</v>
      </c>
      <c r="R38" s="27" t="str" cm="1">
        <f t="array" ref="R38">IF(OR(tblTasks[[#This Row],[Status]]&lt;&gt;DoneStatus,tblTasks[[#This Row],[Completed On]]="",tblTasks[[#This Row],[Due Date]]=""),"",IF(tblTasks[[#This Row],[Completed On]]&lt;=tblTasks[[#This Row],[Due Date]],1,0))</f>
        <v/>
      </c>
      <c r="S38" s="13" t="str" cm="1">
        <f t="array" aca="1" ref="S38"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Kickoff &amp; timeline
👤 Sara Ali    📅 17 Oct
[RPT]   #planning   · 100% done</v>
      </c>
      <c r="T38" s="13">
        <f>IFERROR(MATCH(tblTasks[[#This Row],[Priority]],lstPriority,0),9)*100000+IF(tblTasks[[#This Row],[Due Date]]="",99999,tblTasks[[#This Row],[Due Date]]-DATE(2000,1,1))</f>
        <v>309786</v>
      </c>
      <c r="U38" s="13">
        <f>IF(tblTasks[[#This Row],[Due Date]]="",99999999,tblTasks[[#This Row],[Due Date]])</f>
        <v>46312</v>
      </c>
      <c r="V38" s="13">
        <f>SUBTOTAL(103,tblTasks[[#This Row],[Task]])</f>
        <v>1</v>
      </c>
    </row>
    <row r="39" spans="2:22" x14ac:dyDescent="0.35">
      <c r="B39" s="13" t="str">
        <f>"T-"&amp;TEXT(ROW()-ROW(tblTasks[[#Headers],[ID]]),"000")</f>
        <v>T-033</v>
      </c>
      <c r="C39" s="31" t="s">
        <v>191</v>
      </c>
      <c r="D39" s="7" t="s">
        <v>118</v>
      </c>
      <c r="E39" s="7" t="s">
        <v>71</v>
      </c>
      <c r="F39" s="7" t="s">
        <v>6</v>
      </c>
      <c r="G39" s="7" t="s">
        <v>21</v>
      </c>
      <c r="H39" s="16">
        <v>46313</v>
      </c>
      <c r="I39" s="16">
        <v>46326</v>
      </c>
      <c r="J39" s="25">
        <v>0</v>
      </c>
      <c r="K39" s="7" t="s">
        <v>166</v>
      </c>
      <c r="L39" s="7"/>
      <c r="M39" s="7" t="s">
        <v>51</v>
      </c>
      <c r="N39" s="16">
        <v>46312</v>
      </c>
      <c r="O39" s="16"/>
      <c r="P39" s="29" cm="1">
        <f t="array" aca="1" ref="P39" ca="1">IF(OR(tblTasks[[#This Row],[Task]]="",tblTasks[[#This Row],[Due Date]]="",tblTasks[[#This Row],[Status]]=DoneStatus),"",tblTasks[[#This Row],[Due Date]]-TODAY())</f>
        <v>14</v>
      </c>
      <c r="Q39" s="13" t="str" cm="1">
        <f t="array" aca="1" ref="Q39" ca="1">IF(tblTasks[[#This Row],[Task]]="","",IF(tblTasks[[#This Row],[Status]]=DoneStatus,"Done",IF(tblTasks[[#This Row],[Due Date]]="","No date",IF(tblTasks[[#This Row],[Due Date]]&lt;TODAY(),"Overdue",IF(tblTasks[[#This Row],[Due Date]]-TODAY()&lt;=7,"Due soon","On track")))))</f>
        <v>On track</v>
      </c>
      <c r="R39" s="27" t="str" cm="1">
        <f t="array" ref="R39">IF(OR(tblTasks[[#This Row],[Status]]&lt;&gt;DoneStatus,tblTasks[[#This Row],[Completed On]]="",tblTasks[[#This Row],[Due Date]]=""),"",IF(tblTasks[[#This Row],[Completed On]]&lt;=tblTasks[[#This Row],[Due Date]],1,0))</f>
        <v/>
      </c>
      <c r="S39" s="13" t="str" cm="1">
        <f t="array" aca="1" ref="S39"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Collect department KPIs
👤 Ravi Kumar    📅 31 Oct
[RPT]   #finance</v>
      </c>
      <c r="T39" s="13">
        <f>IFERROR(MATCH(tblTasks[[#This Row],[Priority]],lstPriority,0),9)*100000+IF(tblTasks[[#This Row],[Due Date]]="",99999,tblTasks[[#This Row],[Due Date]]-DATE(2000,1,1))</f>
        <v>209800</v>
      </c>
      <c r="U39" s="13">
        <f>IF(tblTasks[[#This Row],[Due Date]]="",99999999,tblTasks[[#This Row],[Due Date]])</f>
        <v>46326</v>
      </c>
      <c r="V39" s="13">
        <f>SUBTOTAL(103,tblTasks[[#This Row],[Task]])</f>
        <v>1</v>
      </c>
    </row>
    <row r="40" spans="2:22" x14ac:dyDescent="0.35">
      <c r="B40" s="13" t="str">
        <f>"T-"&amp;TEXT(ROW()-ROW(tblTasks[[#Headers],[ID]]),"000")</f>
        <v>T-034</v>
      </c>
      <c r="C40" s="31" t="s">
        <v>192</v>
      </c>
      <c r="D40" s="7" t="s">
        <v>118</v>
      </c>
      <c r="E40" s="7" t="s">
        <v>75</v>
      </c>
      <c r="F40" s="7" t="s">
        <v>6</v>
      </c>
      <c r="G40" s="7" t="s">
        <v>23</v>
      </c>
      <c r="H40" s="16">
        <v>46312</v>
      </c>
      <c r="I40" s="16">
        <v>46347</v>
      </c>
      <c r="J40" s="25">
        <v>0</v>
      </c>
      <c r="K40" s="7" t="s">
        <v>136</v>
      </c>
      <c r="L40" s="7"/>
      <c r="M40" s="7" t="s">
        <v>75</v>
      </c>
      <c r="N40" s="16">
        <v>46312</v>
      </c>
      <c r="O40" s="16"/>
      <c r="P40" s="29" cm="1">
        <f t="array" aca="1" ref="P40" ca="1">IF(OR(tblTasks[[#This Row],[Task]]="",tblTasks[[#This Row],[Due Date]]="",tblTasks[[#This Row],[Status]]=DoneStatus),"",tblTasks[[#This Row],[Due Date]]-TODAY())</f>
        <v>35</v>
      </c>
      <c r="Q40" s="13" t="str" cm="1">
        <f t="array" aca="1" ref="Q40" ca="1">IF(tblTasks[[#This Row],[Task]]="","",IF(tblTasks[[#This Row],[Status]]=DoneStatus,"Done",IF(tblTasks[[#This Row],[Due Date]]="","No date",IF(tblTasks[[#This Row],[Due Date]]&lt;TODAY(),"Overdue",IF(tblTasks[[#This Row],[Due Date]]-TODAY()&lt;=7,"Due soon","On track")))))</f>
        <v>On track</v>
      </c>
      <c r="R40" s="27" t="str" cm="1">
        <f t="array" ref="R40">IF(OR(tblTasks[[#This Row],[Status]]&lt;&gt;DoneStatus,tblTasks[[#This Row],[Completed On]]="",tblTasks[[#This Row],[Due Date]]=""),"",IF(tblTasks[[#This Row],[Completed On]]&lt;=tblTasks[[#This Row],[Due Date]],1,0))</f>
        <v/>
      </c>
      <c r="S40" s="13" t="str" cm="1">
        <f t="array" aca="1" ref="S40"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Report design template
👤 Nora Fischer    📅 21 Nov
[RPT]   #design</v>
      </c>
      <c r="T40" s="13">
        <f>IFERROR(MATCH(tblTasks[[#This Row],[Priority]],lstPriority,0),9)*100000+IF(tblTasks[[#This Row],[Due Date]]="",99999,tblTasks[[#This Row],[Due Date]]-DATE(2000,1,1))</f>
        <v>309821</v>
      </c>
      <c r="U40" s="13">
        <f>IF(tblTasks[[#This Row],[Due Date]]="",99999999,tblTasks[[#This Row],[Due Date]])</f>
        <v>46347</v>
      </c>
      <c r="V40" s="13">
        <f>SUBTOTAL(103,tblTasks[[#This Row],[Task]])</f>
        <v>1</v>
      </c>
    </row>
    <row r="41" spans="2:22" x14ac:dyDescent="0.35">
      <c r="B41" s="13" t="str">
        <f>"T-"&amp;TEXT(ROW()-ROW(tblTasks[[#Headers],[ID]]),"000")</f>
        <v>T-035</v>
      </c>
      <c r="C41" s="31" t="s">
        <v>193</v>
      </c>
      <c r="D41" s="7" t="s">
        <v>115</v>
      </c>
      <c r="E41" s="7" t="s">
        <v>51</v>
      </c>
      <c r="F41" s="7" t="s">
        <v>14</v>
      </c>
      <c r="G41" s="7" t="s">
        <v>25</v>
      </c>
      <c r="H41" s="16">
        <v>46304</v>
      </c>
      <c r="I41" s="16">
        <v>46305</v>
      </c>
      <c r="J41" s="25">
        <v>1</v>
      </c>
      <c r="K41" s="7" t="s">
        <v>194</v>
      </c>
      <c r="L41" s="7"/>
      <c r="M41" s="7" t="s">
        <v>51</v>
      </c>
      <c r="N41" s="16">
        <v>46303</v>
      </c>
      <c r="O41" s="16">
        <v>46305</v>
      </c>
      <c r="P41" s="29" cm="1">
        <f t="array" aca="1" ref="P41" ca="1">IF(OR(tblTasks[[#This Row],[Task]]="",tblTasks[[#This Row],[Due Date]]="",tblTasks[[#This Row],[Status]]=DoneStatus),"",tblTasks[[#This Row],[Due Date]]-TODAY())</f>
        <v>-7</v>
      </c>
      <c r="Q41" s="13" t="str" cm="1">
        <f t="array" aca="1" ref="Q41" ca="1">IF(tblTasks[[#This Row],[Task]]="","",IF(tblTasks[[#This Row],[Status]]=DoneStatus,"Done",IF(tblTasks[[#This Row],[Due Date]]="","No date",IF(tblTasks[[#This Row],[Due Date]]&lt;TODAY(),"Overdue",IF(tblTasks[[#This Row],[Due Date]]-TODAY()&lt;=7,"Due soon","On track")))))</f>
        <v>Overdue</v>
      </c>
      <c r="R41" s="27" t="str" cm="1">
        <f t="array" ref="R41">IF(OR(tblTasks[[#This Row],[Status]]&lt;&gt;DoneStatus,tblTasks[[#This Row],[Completed On]]="",tblTasks[[#This Row],[Due Date]]=""),"",IF(tblTasks[[#This Row],[Completed On]]&lt;=tblTasks[[#This Row],[Due Date]],1,0))</f>
        <v/>
      </c>
      <c r="S41" s="13" t="str" cm="1">
        <f t="array" aca="1" ref="S41"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Weekly team sync notes
👤 Sara Ali    📅 10 Oct
⚠ OVERDUE   [OPS]   #ops   · 100% done</v>
      </c>
      <c r="T41" s="13">
        <f>IFERROR(MATCH(tblTasks[[#This Row],[Priority]],lstPriority,0),9)*100000+IF(tblTasks[[#This Row],[Due Date]]="",99999,tblTasks[[#This Row],[Due Date]]-DATE(2000,1,1))</f>
        <v>409779</v>
      </c>
      <c r="U41" s="13">
        <f>IF(tblTasks[[#This Row],[Due Date]]="",99999999,tblTasks[[#This Row],[Due Date]])</f>
        <v>46305</v>
      </c>
      <c r="V41" s="13">
        <f>SUBTOTAL(103,tblTasks[[#This Row],[Task]])</f>
        <v>1</v>
      </c>
    </row>
    <row r="42" spans="2:22" x14ac:dyDescent="0.35">
      <c r="B42" s="13" t="str">
        <f>"T-"&amp;TEXT(ROW()-ROW(tblTasks[[#Headers],[ID]]),"000")</f>
        <v>T-036</v>
      </c>
      <c r="C42" s="31" t="s">
        <v>195</v>
      </c>
      <c r="D42" s="7" t="s">
        <v>115</v>
      </c>
      <c r="E42" s="7" t="s">
        <v>71</v>
      </c>
      <c r="F42" s="7" t="s">
        <v>8</v>
      </c>
      <c r="G42" s="7" t="s">
        <v>19</v>
      </c>
      <c r="H42" s="16">
        <v>46302</v>
      </c>
      <c r="I42" s="16">
        <v>46313</v>
      </c>
      <c r="J42" s="25">
        <v>0.5</v>
      </c>
      <c r="K42" s="7" t="s">
        <v>166</v>
      </c>
      <c r="L42" s="7"/>
      <c r="M42" s="7" t="s">
        <v>71</v>
      </c>
      <c r="N42" s="16">
        <v>46301</v>
      </c>
      <c r="O42" s="16"/>
      <c r="P42" s="29" cm="1">
        <f t="array" aca="1" ref="P42" ca="1">IF(OR(tblTasks[[#This Row],[Task]]="",tblTasks[[#This Row],[Due Date]]="",tblTasks[[#This Row],[Status]]=DoneStatus),"",tblTasks[[#This Row],[Due Date]]-TODAY())</f>
        <v>1</v>
      </c>
      <c r="Q42" s="13" t="str" cm="1">
        <f t="array" aca="1" ref="Q42" ca="1">IF(tblTasks[[#This Row],[Task]]="","",IF(tblTasks[[#This Row],[Status]]=DoneStatus,"Done",IF(tblTasks[[#This Row],[Due Date]]="","No date",IF(tblTasks[[#This Row],[Due Date]]&lt;TODAY(),"Overdue",IF(tblTasks[[#This Row],[Due Date]]-TODAY()&lt;=7,"Due soon","On track")))))</f>
        <v>Due soon</v>
      </c>
      <c r="R42" s="27" t="str" cm="1">
        <f t="array" ref="R42">IF(OR(tblTasks[[#This Row],[Status]]&lt;&gt;DoneStatus,tblTasks[[#This Row],[Completed On]]="",tblTasks[[#This Row],[Due Date]]=""),"",IF(tblTasks[[#This Row],[Completed On]]&lt;=tblTasks[[#This Row],[Due Date]],1,0))</f>
        <v/>
      </c>
      <c r="S42" s="13" t="str" cm="1">
        <f t="array" aca="1" ref="S42"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Vendor contract renewal
👤 Ravi Kumar    📅 18 Oct
[OPS]   #finance   · 50% done</v>
      </c>
      <c r="T42" s="13">
        <f>IFERROR(MATCH(tblTasks[[#This Row],[Priority]],lstPriority,0),9)*100000+IF(tblTasks[[#This Row],[Due Date]]="",99999,tblTasks[[#This Row],[Due Date]]-DATE(2000,1,1))</f>
        <v>109787</v>
      </c>
      <c r="U42" s="13">
        <f>IF(tblTasks[[#This Row],[Due Date]]="",99999999,tblTasks[[#This Row],[Due Date]])</f>
        <v>46313</v>
      </c>
      <c r="V42" s="13">
        <f>SUBTOTAL(103,tblTasks[[#This Row],[Task]])</f>
        <v>1</v>
      </c>
    </row>
    <row r="43" spans="2:22" x14ac:dyDescent="0.35">
      <c r="B43" s="13" t="str">
        <f>"T-"&amp;TEXT(ROW()-ROW(tblTasks[[#Headers],[ID]]),"000")</f>
        <v>T-037</v>
      </c>
      <c r="C43" s="31" t="s">
        <v>196</v>
      </c>
      <c r="D43" s="7" t="s">
        <v>115</v>
      </c>
      <c r="E43" s="7" t="s">
        <v>51</v>
      </c>
      <c r="F43" s="7" t="s">
        <v>10</v>
      </c>
      <c r="G43" s="7" t="s">
        <v>21</v>
      </c>
      <c r="H43" s="16">
        <v>46300</v>
      </c>
      <c r="I43" s="16">
        <v>46317</v>
      </c>
      <c r="J43" s="25">
        <v>0.7</v>
      </c>
      <c r="K43" s="7" t="s">
        <v>197</v>
      </c>
      <c r="L43" s="7"/>
      <c r="M43" s="7" t="s">
        <v>51</v>
      </c>
      <c r="N43" s="16">
        <v>46299</v>
      </c>
      <c r="O43" s="16"/>
      <c r="P43" s="29" cm="1">
        <f t="array" aca="1" ref="P43" ca="1">IF(OR(tblTasks[[#This Row],[Task]]="",tblTasks[[#This Row],[Due Date]]="",tblTasks[[#This Row],[Status]]=DoneStatus),"",tblTasks[[#This Row],[Due Date]]-TODAY())</f>
        <v>5</v>
      </c>
      <c r="Q43" s="13" t="str" cm="1">
        <f t="array" aca="1" ref="Q43" ca="1">IF(tblTasks[[#This Row],[Task]]="","",IF(tblTasks[[#This Row],[Status]]=DoneStatus,"Done",IF(tblTasks[[#This Row],[Due Date]]="","No date",IF(tblTasks[[#This Row],[Due Date]]&lt;TODAY(),"Overdue",IF(tblTasks[[#This Row],[Due Date]]-TODAY()&lt;=7,"Due soon","On track")))))</f>
        <v>Due soon</v>
      </c>
      <c r="R43" s="27" t="str" cm="1">
        <f t="array" ref="R43">IF(OR(tblTasks[[#This Row],[Status]]&lt;&gt;DoneStatus,tblTasks[[#This Row],[Completed On]]="",tblTasks[[#This Row],[Due Date]]=""),"",IF(tblTasks[[#This Row],[Completed On]]&lt;=tblTasks[[#This Row],[Due Date]],1,0))</f>
        <v/>
      </c>
      <c r="S43" s="13" t="str" cm="1">
        <f t="array" aca="1" ref="S43"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Q4 hiring plan
👤 Sara Ali    📅 22 Oct
[OPS]   #people   · 70% done</v>
      </c>
      <c r="T43" s="13">
        <f>IFERROR(MATCH(tblTasks[[#This Row],[Priority]],lstPriority,0),9)*100000+IF(tblTasks[[#This Row],[Due Date]]="",99999,tblTasks[[#This Row],[Due Date]]-DATE(2000,1,1))</f>
        <v>209791</v>
      </c>
      <c r="U43" s="13">
        <f>IF(tblTasks[[#This Row],[Due Date]]="",99999999,tblTasks[[#This Row],[Due Date]])</f>
        <v>46317</v>
      </c>
      <c r="V43" s="13">
        <f>SUBTOTAL(103,tblTasks[[#This Row],[Task]])</f>
        <v>1</v>
      </c>
    </row>
    <row r="44" spans="2:22" x14ac:dyDescent="0.35">
      <c r="B44" s="13" t="str">
        <f>"T-"&amp;TEXT(ROW()-ROW(tblTasks[[#Headers],[ID]]),"000")</f>
        <v>T-038</v>
      </c>
      <c r="C44" s="31" t="s">
        <v>198</v>
      </c>
      <c r="D44" s="7" t="s">
        <v>115</v>
      </c>
      <c r="E44" s="7" t="s">
        <v>63</v>
      </c>
      <c r="F44" s="7" t="s">
        <v>14</v>
      </c>
      <c r="G44" s="7" t="s">
        <v>23</v>
      </c>
      <c r="H44" s="16">
        <v>46298</v>
      </c>
      <c r="I44" s="16">
        <v>46307</v>
      </c>
      <c r="J44" s="25">
        <v>1</v>
      </c>
      <c r="K44" s="7" t="s">
        <v>148</v>
      </c>
      <c r="L44" s="7"/>
      <c r="M44" s="7" t="s">
        <v>63</v>
      </c>
      <c r="N44" s="16">
        <v>46296</v>
      </c>
      <c r="O44" s="16">
        <v>46310</v>
      </c>
      <c r="P44" s="29" cm="1">
        <f t="array" aca="1" ref="P44" ca="1">IF(OR(tblTasks[[#This Row],[Task]]="",tblTasks[[#This Row],[Due Date]]="",tblTasks[[#This Row],[Status]]=DoneStatus),"",tblTasks[[#This Row],[Due Date]]-TODAY())</f>
        <v>-5</v>
      </c>
      <c r="Q44" s="13" t="str" cm="1">
        <f t="array" aca="1" ref="Q44" ca="1">IF(tblTasks[[#This Row],[Task]]="","",IF(tblTasks[[#This Row],[Status]]=DoneStatus,"Done",IF(tblTasks[[#This Row],[Due Date]]="","No date",IF(tblTasks[[#This Row],[Due Date]]&lt;TODAY(),"Overdue",IF(tblTasks[[#This Row],[Due Date]]-TODAY()&lt;=7,"Due soon","On track")))))</f>
        <v>Overdue</v>
      </c>
      <c r="R44" s="27" t="str" cm="1">
        <f t="array" ref="R44">IF(OR(tblTasks[[#This Row],[Status]]&lt;&gt;DoneStatus,tblTasks[[#This Row],[Completed On]]="",tblTasks[[#This Row],[Due Date]]=""),"",IF(tblTasks[[#This Row],[Completed On]]&lt;=tblTasks[[#This Row],[Due Date]],1,0))</f>
        <v/>
      </c>
      <c r="S44" s="13" t="str" cm="1">
        <f t="array" aca="1" ref="S44"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Dashboard data clean-up
👤 Jack Moore    📅 12 Oct
⚠ OVERDUE   [OPS]   #data   · 100% done</v>
      </c>
      <c r="T44" s="13">
        <f>IFERROR(MATCH(tblTasks[[#This Row],[Priority]],lstPriority,0),9)*100000+IF(tblTasks[[#This Row],[Due Date]]="",99999,tblTasks[[#This Row],[Due Date]]-DATE(2000,1,1))</f>
        <v>309781</v>
      </c>
      <c r="U44" s="13">
        <f>IF(tblTasks[[#This Row],[Due Date]]="",99999999,tblTasks[[#This Row],[Due Date]])</f>
        <v>46307</v>
      </c>
      <c r="V44" s="13">
        <f>SUBTOTAL(103,tblTasks[[#This Row],[Task]])</f>
        <v>1</v>
      </c>
    </row>
    <row r="45" spans="2:22" x14ac:dyDescent="0.35">
      <c r="B45" s="13" t="str">
        <f>"T-"&amp;TEXT(ROW()-ROW(tblTasks[[#Headers],[ID]]),"000")</f>
        <v>T-039</v>
      </c>
      <c r="C45" s="31" t="s">
        <v>199</v>
      </c>
      <c r="D45" s="7" t="s">
        <v>115</v>
      </c>
      <c r="E45" s="7" t="s">
        <v>85</v>
      </c>
      <c r="F45" s="7" t="s">
        <v>6</v>
      </c>
      <c r="G45" s="7" t="s">
        <v>23</v>
      </c>
      <c r="H45" s="16">
        <v>46310</v>
      </c>
      <c r="I45" s="16">
        <v>46328</v>
      </c>
      <c r="J45" s="25">
        <v>0</v>
      </c>
      <c r="K45" s="7" t="s">
        <v>200</v>
      </c>
      <c r="L45" s="7"/>
      <c r="M45" s="7" t="s">
        <v>51</v>
      </c>
      <c r="N45" s="16">
        <v>46308</v>
      </c>
      <c r="O45" s="16"/>
      <c r="P45" s="29" cm="1">
        <f t="array" aca="1" ref="P45" ca="1">IF(OR(tblTasks[[#This Row],[Task]]="",tblTasks[[#This Row],[Due Date]]="",tblTasks[[#This Row],[Status]]=DoneStatus),"",tblTasks[[#This Row],[Due Date]]-TODAY())</f>
        <v>16</v>
      </c>
      <c r="Q45" s="13" t="str" cm="1">
        <f t="array" aca="1" ref="Q45" ca="1">IF(tblTasks[[#This Row],[Task]]="","",IF(tblTasks[[#This Row],[Status]]=DoneStatus,"Done",IF(tblTasks[[#This Row],[Due Date]]="","No date",IF(tblTasks[[#This Row],[Due Date]]&lt;TODAY(),"Overdue",IF(tblTasks[[#This Row],[Due Date]]-TODAY()&lt;=7,"Due soon","On track")))))</f>
        <v>On track</v>
      </c>
      <c r="R45" s="27" t="str" cm="1">
        <f t="array" ref="R45">IF(OR(tblTasks[[#This Row],[Status]]&lt;&gt;DoneStatus,tblTasks[[#This Row],[Completed On]]="",tblTasks[[#This Row],[Due Date]]=""),"",IF(tblTasks[[#This Row],[Completed On]]&lt;=tblTasks[[#This Row],[Due Date]],1,0))</f>
        <v/>
      </c>
      <c r="S45" s="13" t="str" cm="1">
        <f t="array" aca="1" ref="S45"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Security awareness training
👤 Tom Becker    📅 2 Nov
[OPS]   #it</v>
      </c>
      <c r="T45" s="13">
        <f>IFERROR(MATCH(tblTasks[[#This Row],[Priority]],lstPriority,0),9)*100000+IF(tblTasks[[#This Row],[Due Date]]="",99999,tblTasks[[#This Row],[Due Date]]-DATE(2000,1,1))</f>
        <v>309802</v>
      </c>
      <c r="U45" s="13">
        <f>IF(tblTasks[[#This Row],[Due Date]]="",99999999,tblTasks[[#This Row],[Due Date]])</f>
        <v>46328</v>
      </c>
      <c r="V45" s="13">
        <f>SUBTOTAL(103,tblTasks[[#This Row],[Task]])</f>
        <v>1</v>
      </c>
    </row>
    <row r="46" spans="2:22" x14ac:dyDescent="0.35">
      <c r="B46" s="13" t="str">
        <f>"T-"&amp;TEXT(ROW()-ROW(tblTasks[[#Headers],[ID]]),"000")</f>
        <v>T-040</v>
      </c>
      <c r="C46" s="31" t="s">
        <v>201</v>
      </c>
      <c r="D46" s="7" t="s">
        <v>115</v>
      </c>
      <c r="E46" s="7" t="s">
        <v>63</v>
      </c>
      <c r="F46" s="7" t="s">
        <v>8</v>
      </c>
      <c r="G46" s="7" t="s">
        <v>21</v>
      </c>
      <c r="H46" s="16">
        <v>46299</v>
      </c>
      <c r="I46" s="16">
        <v>46308</v>
      </c>
      <c r="J46" s="25">
        <v>0.6</v>
      </c>
      <c r="K46" s="7" t="s">
        <v>148</v>
      </c>
      <c r="L46" s="7"/>
      <c r="M46" s="7" t="s">
        <v>63</v>
      </c>
      <c r="N46" s="16">
        <v>46298</v>
      </c>
      <c r="O46" s="16"/>
      <c r="P46" s="29" cm="1">
        <f t="array" aca="1" ref="P46" ca="1">IF(OR(tblTasks[[#This Row],[Task]]="",tblTasks[[#This Row],[Due Date]]="",tblTasks[[#This Row],[Status]]=DoneStatus),"",tblTasks[[#This Row],[Due Date]]-TODAY())</f>
        <v>-4</v>
      </c>
      <c r="Q46" s="13" t="str" cm="1">
        <f t="array" aca="1" ref="Q46" ca="1">IF(tblTasks[[#This Row],[Task]]="","",IF(tblTasks[[#This Row],[Status]]=DoneStatus,"Done",IF(tblTasks[[#This Row],[Due Date]]="","No date",IF(tblTasks[[#This Row],[Due Date]]&lt;TODAY(),"Overdue",IF(tblTasks[[#This Row],[Due Date]]-TODAY()&lt;=7,"Due soon","On track")))))</f>
        <v>Overdue</v>
      </c>
      <c r="R46" s="27" t="str" cm="1">
        <f t="array" ref="R46">IF(OR(tblTasks[[#This Row],[Status]]&lt;&gt;DoneStatus,tblTasks[[#This Row],[Completed On]]="",tblTasks[[#This Row],[Due Date]]=""),"",IF(tblTasks[[#This Row],[Completed On]]&lt;=tblTasks[[#This Row],[Due Date]],1,0))</f>
        <v/>
      </c>
      <c r="S46" s="13" t="str" cm="1">
        <f t="array" aca="1" ref="S46"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Customer churn analysis
👤 Jack Moore    📅 13 Oct
⚠ OVERDUE   [OPS]   #data   · 60% done</v>
      </c>
      <c r="T46" s="13">
        <f>IFERROR(MATCH(tblTasks[[#This Row],[Priority]],lstPriority,0),9)*100000+IF(tblTasks[[#This Row],[Due Date]]="",99999,tblTasks[[#This Row],[Due Date]]-DATE(2000,1,1))</f>
        <v>209782</v>
      </c>
      <c r="U46" s="13">
        <f>IF(tblTasks[[#This Row],[Due Date]]="",99999999,tblTasks[[#This Row],[Due Date]])</f>
        <v>46308</v>
      </c>
      <c r="V46" s="13">
        <f>SUBTOTAL(103,tblTasks[[#This Row],[Task]])</f>
        <v>1</v>
      </c>
    </row>
    <row r="47" spans="2:22" x14ac:dyDescent="0.35">
      <c r="B47" s="166" t="str">
        <f>"T-"&amp;TEXT(ROW()-ROW(tblTasks[[#Headers],[ID]]),"000")</f>
        <v>T-041</v>
      </c>
      <c r="C47" s="168" t="s">
        <v>347</v>
      </c>
      <c r="D47" s="164" t="s">
        <v>344</v>
      </c>
      <c r="E47" s="164" t="s">
        <v>67</v>
      </c>
      <c r="F47" s="164" t="s">
        <v>350</v>
      </c>
      <c r="G47" s="164" t="s">
        <v>21</v>
      </c>
      <c r="H47" s="165">
        <v>46312</v>
      </c>
      <c r="I47" s="165">
        <v>46313</v>
      </c>
      <c r="J47" s="169">
        <v>0.2</v>
      </c>
      <c r="K47" s="164" t="s">
        <v>348</v>
      </c>
      <c r="L47" s="164" t="s">
        <v>349</v>
      </c>
      <c r="M47" s="164" t="s">
        <v>71</v>
      </c>
      <c r="N47" s="165">
        <v>46312</v>
      </c>
      <c r="O47" s="165"/>
      <c r="P47" s="170" cm="1">
        <f t="array" aca="1" ref="P47" ca="1">IF(OR(tblTasks[[#This Row],[Task]]="",tblTasks[[#This Row],[Due Date]]="",tblTasks[[#This Row],[Status]]=DoneStatus),"",tblTasks[[#This Row],[Due Date]]-TODAY())</f>
        <v>1</v>
      </c>
      <c r="Q47" s="166" t="str" cm="1">
        <f t="array" aca="1" ref="Q47" ca="1">IF(tblTasks[[#This Row],[Task]]="","",IF(tblTasks[[#This Row],[Status]]=DoneStatus,"Done",IF(tblTasks[[#This Row],[Due Date]]="","No date",IF(tblTasks[[#This Row],[Due Date]]&lt;TODAY(),"Overdue",IF(tblTasks[[#This Row],[Due Date]]-TODAY()&lt;=7,"Due soon","On track")))))</f>
        <v>Due soon</v>
      </c>
      <c r="R47" s="171" t="str" cm="1">
        <f t="array" ref="R47">IF(OR(tblTasks[[#This Row],[Status]]&lt;&gt;DoneStatus,tblTasks[[#This Row],[Completed On]]="",tblTasks[[#This Row],[Due Date]]=""),"",IF(tblTasks[[#This Row],[Completed On]]&lt;=tblTasks[[#This Row],[Due Date]],1,0))</f>
        <v/>
      </c>
      <c r="S47" s="166" t="str" cm="1">
        <f t="array" aca="1" ref="S47" ca="1">IF(tblTasks[[#This Row],[Task]]="","",tblTasks[[#This Row],[Task]]&amp;CHAR(10)&amp;"👤 "&amp;IF(tblTasks[[#This Row],[Owner]]="","Unassigned",tblTasks[[#This Row],[Owner]])&amp;IF(tblTasks[[#This Row],[Due Date]]="","","    📅 "&amp;TEXT(tblTasks[[#This Row],[Due Date]],"d mmm"))&amp;CHAR(10)&amp;IF(tblTasks[[#This Row],[State]]="Overdue","⚠ OVERDUE   ","")&amp;IFERROR("["&amp;_xlfn.XLOOKUP(tblTasks[[#This Row],[Project]],tblProjects[Project],tblProjects[Code])&amp;"]   ","")&amp;IF(tblTasks[[#This Row],[Tags]]="","","#"&amp;SUBSTITUTE(TRIM(tblTasks[[#This Row],[Tags]]),", "," #"))&amp;IF(AND(ISNUMBER(tblTasks[[#This Row],[Progress]]),N(tblTasks[[#This Row],[Progress]])&gt;0,tblTasks[[#This Row],[Status]]&lt;&gt;DoneStatus),"   · "&amp;TEXT(tblTasks[[#This Row],[Progress]],"0%")&amp;" done",""))</f>
        <v>1st Priority task
👤 Maya Chen    📅 18 Oct
[UPA]   #Operational   · 20% done</v>
      </c>
      <c r="T47" s="166">
        <f>IFERROR(MATCH(tblTasks[[#This Row],[Priority]],lstPriority,0),9)*100000+IF(tblTasks[[#This Row],[Due Date]]="",99999,tblTasks[[#This Row],[Due Date]]-DATE(2000,1,1))</f>
        <v>209787</v>
      </c>
      <c r="U47" s="166">
        <f>IF(tblTasks[[#This Row],[Due Date]]="",99999999,tblTasks[[#This Row],[Due Date]])</f>
        <v>46313</v>
      </c>
      <c r="V47" s="166">
        <f>SUBTOTAL(103,tblTasks[[#This Row],[Task]])</f>
        <v>1</v>
      </c>
    </row>
  </sheetData>
  <conditionalFormatting sqref="G7:G47">
    <cfRule type="expression" dxfId="9" priority="5">
      <formula>G7="Urgent"</formula>
    </cfRule>
    <cfRule type="expression" dxfId="8" priority="6">
      <formula>G7="High"</formula>
    </cfRule>
    <cfRule type="expression" dxfId="7" priority="7">
      <formula>G7="Normal"</formula>
    </cfRule>
    <cfRule type="expression" dxfId="6" priority="8">
      <formula>G7="Low"</formula>
    </cfRule>
  </conditionalFormatting>
  <conditionalFormatting sqref="J7:J47">
    <cfRule type="dataBar" priority="1">
      <dataBar>
        <cfvo type="num" val="0"/>
        <cfvo type="num" val="1"/>
        <color rgb="FF5B5BD6"/>
      </dataBar>
      <extLst>
        <ext xmlns:x14="http://schemas.microsoft.com/office/spreadsheetml/2009/9/main" uri="{B025F937-C7B1-47D3-B67F-A62EFF666E3E}">
          <x14:id>{33AB2BFC-A26C-4CDD-92EA-9F88F6DCB120}</x14:id>
        </ext>
      </extLst>
    </cfRule>
  </conditionalFormatting>
  <conditionalFormatting sqref="Q7:Q47">
    <cfRule type="expression" dxfId="5" priority="2">
      <formula>Q7="Overdue"</formula>
    </cfRule>
    <cfRule type="expression" dxfId="4" priority="3">
      <formula>Q7="Due soon"</formula>
    </cfRule>
    <cfRule type="expression" dxfId="3" priority="4">
      <formula>Q7="Done"</formula>
    </cfRule>
  </conditionalFormatting>
  <dataValidations count="6">
    <dataValidation type="list" allowBlank="1" showInputMessage="1" showErrorMessage="1" promptTitle="Project" prompt="Pick a project (add new ones on the Projects sheet)" sqref="D7:D47" xr:uid="{DA5B3AC2-944A-4A7F-8F56-D1CEFB52AD97}">
      <formula1>lstProjects</formula1>
    </dataValidation>
    <dataValidation type="list" allowBlank="1" showInputMessage="1" showErrorMessage="1" promptTitle="Owner" prompt="Who is responsible?" sqref="E7:E47" xr:uid="{652A878C-7121-4ACF-9D6F-F10692BA65BB}">
      <formula1>lstMembers</formula1>
    </dataValidation>
    <dataValidation type="list" allowBlank="1" showInputMessage="1" showErrorMessage="1" promptTitle="Status" prompt="Changing this moves the card on the Board" sqref="F7:F47" xr:uid="{7FD4981F-BDDD-4335-84F3-07EA1320F57C}">
      <formula1>lstStatus</formula1>
    </dataValidation>
    <dataValidation type="list" allowBlank="1" showInputMessage="1" showErrorMessage="1" sqref="G7:G47" xr:uid="{C2D64C83-2281-40C8-BF62-775B94BD52DD}">
      <formula1>lstPriority</formula1>
    </dataValidation>
    <dataValidation type="list" allowBlank="1" showInputMessage="1" showErrorMessage="1" sqref="M7:M47" xr:uid="{BDE25798-A0D0-4C90-9DBB-E6DB5430EDCF}">
      <formula1>lstMembers</formula1>
    </dataValidation>
    <dataValidation type="decimal" allowBlank="1" showInputMessage="1" showErrorMessage="1" error="Enter a percentage between 0% and 100%" sqref="J7:J47" xr:uid="{75948D4A-204E-482A-8DAB-C9A0D4133B7D}">
      <formula1>0</formula1>
      <formula2>1</formula2>
    </dataValidation>
  </dataValidations>
  <hyperlinks>
    <hyperlink ref="W2" location="'Home'!A1" display="⌂  Home" xr:uid="{CECED98C-80EA-4507-8F92-95B57E9DB18E}"/>
    <hyperlink ref="C5" location="'Board'!A1" display="→ See it on the Board" xr:uid="{D6970201-D9E9-47A7-B036-7FCB815F174A}"/>
    <hyperlink ref="D5" location="'Dashboard'!A1" display="→ Dashboard" xr:uid="{9D4931DD-832F-4DA0-8487-7567513C542F}"/>
  </hyperlinks>
  <pageMargins left="0.7" right="0.7" top="0.75" bottom="0.75" header="0.3" footer="0.3"/>
  <pageSetup orientation="landscape"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33AB2BFC-A26C-4CDD-92EA-9F88F6DCB120}">
            <x14:dataBar minLength="0" maxLength="100" gradient="0" negativeBarColorSameAsPositive="1" axisPosition="none">
              <x14:cfvo type="num">
                <xm:f>0</xm:f>
              </x14:cfvo>
              <x14:cfvo type="num">
                <xm:f>1</xm:f>
              </x14:cfvo>
            </x14:dataBar>
          </x14:cfRule>
          <xm:sqref>J7:J47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A4B3A-1EB6-4333-95A7-BB7BDEDD1848}">
  <sheetPr>
    <tabColor rgb="FF2F9E6A"/>
  </sheetPr>
  <dimension ref="A1:J15"/>
  <sheetViews>
    <sheetView showGridLines="0" zoomScale="90" zoomScaleNormal="90" workbookViewId="0">
      <pane xSplit="2" ySplit="5" topLeftCell="C6" activePane="bottomRight" state="frozenSplit"/>
      <selection pane="topRight" activeCell="C1" sqref="C1"/>
      <selection pane="bottomLeft" activeCell="A6" sqref="A6"/>
      <selection pane="bottomRight" activeCell="I16" sqref="I16"/>
    </sheetView>
  </sheetViews>
  <sheetFormatPr defaultRowHeight="15" x14ac:dyDescent="0.35"/>
  <cols>
    <col min="1" max="1" width="2.77734375" customWidth="1"/>
    <col min="2" max="2" width="18.77734375" customWidth="1"/>
    <col min="3" max="3" width="24.77734375" customWidth="1"/>
    <col min="4" max="4" width="20.77734375" customWidth="1"/>
    <col min="5" max="5" width="16.77734375" customWidth="1"/>
    <col min="6" max="6" width="11.77734375" customWidth="1"/>
    <col min="7" max="7" width="13" customWidth="1"/>
    <col min="8" max="8" width="11.77734375" customWidth="1"/>
    <col min="9" max="9" width="14.77734375" customWidth="1"/>
    <col min="10" max="10" width="12.77734375" customWidth="1"/>
  </cols>
  <sheetData>
    <row r="1" spans="1:10" ht="7.95" customHeight="1" x14ac:dyDescent="0.35">
      <c r="A1" s="1"/>
      <c r="B1" s="1"/>
      <c r="C1" s="1"/>
      <c r="D1" s="1"/>
      <c r="E1" s="1"/>
      <c r="F1" s="1"/>
      <c r="G1" s="1"/>
      <c r="H1" s="1"/>
      <c r="I1" s="1"/>
      <c r="J1" s="1"/>
    </row>
    <row r="2" spans="1:10" ht="34.049999999999997" customHeight="1" x14ac:dyDescent="0.35">
      <c r="A2" s="1"/>
      <c r="B2" s="2" t="s">
        <v>41</v>
      </c>
      <c r="C2" s="1"/>
      <c r="D2" s="1"/>
      <c r="E2" s="1"/>
      <c r="F2" s="1"/>
      <c r="G2" s="1"/>
      <c r="H2" s="1"/>
      <c r="I2" s="1"/>
      <c r="J2" s="4" t="s">
        <v>2</v>
      </c>
    </row>
    <row r="3" spans="1:10" ht="19.95" customHeight="1" x14ac:dyDescent="0.35">
      <c r="A3" s="1"/>
      <c r="B3" s="3" t="s">
        <v>42</v>
      </c>
      <c r="C3" s="1"/>
      <c r="D3" s="1"/>
      <c r="E3" s="1"/>
      <c r="F3" s="1"/>
      <c r="G3" s="1"/>
      <c r="H3" s="1"/>
      <c r="I3" s="1"/>
      <c r="J3" s="1"/>
    </row>
    <row r="4" spans="1:10" x14ac:dyDescent="0.35">
      <c r="B4" s="14" t="s">
        <v>88</v>
      </c>
    </row>
    <row r="5" spans="1:10" x14ac:dyDescent="0.35">
      <c r="B5" s="10" t="s">
        <v>43</v>
      </c>
      <c r="C5" s="10" t="s">
        <v>44</v>
      </c>
      <c r="D5" s="10" t="s">
        <v>45</v>
      </c>
      <c r="E5" s="10" t="s">
        <v>46</v>
      </c>
      <c r="F5" s="10" t="s">
        <v>47</v>
      </c>
      <c r="G5" s="11" t="s">
        <v>48</v>
      </c>
      <c r="H5" s="11" t="s">
        <v>49</v>
      </c>
      <c r="I5" s="11" t="s">
        <v>50</v>
      </c>
    </row>
    <row r="6" spans="1:10" x14ac:dyDescent="0.35">
      <c r="B6" s="6" t="s">
        <v>51</v>
      </c>
      <c r="C6" s="6" t="s">
        <v>52</v>
      </c>
      <c r="D6" s="6" t="s">
        <v>53</v>
      </c>
      <c r="E6" s="6" t="s">
        <v>54</v>
      </c>
      <c r="F6" s="6">
        <v>8</v>
      </c>
      <c r="G6" s="12" cm="1">
        <f t="array" ref="G6">COUNTIFS(tblTasks[Owner],tblTeam[[#This Row],[Name]],tblTasks[Status],"&lt;&gt;"&amp;DoneStatus)</f>
        <v>4</v>
      </c>
      <c r="H6" s="12">
        <f ca="1">COUNTIFS(tblTasks[Owner],tblTeam[[#This Row],[Name]],tblTasks[State],"Overdue")</f>
        <v>1</v>
      </c>
      <c r="I6" s="22">
        <f>IF(N(tblTeam[[#This Row],[Capacity]])=0,"",tblTeam[[#This Row],[Open Tasks]]/tblTeam[[#This Row],[Capacity]])</f>
        <v>0.5</v>
      </c>
    </row>
    <row r="7" spans="1:10" x14ac:dyDescent="0.35">
      <c r="B7" s="7" t="s">
        <v>55</v>
      </c>
      <c r="C7" s="7" t="s">
        <v>56</v>
      </c>
      <c r="D7" s="7" t="s">
        <v>57</v>
      </c>
      <c r="E7" s="7" t="s">
        <v>58</v>
      </c>
      <c r="F7" s="7">
        <v>6</v>
      </c>
      <c r="G7" s="13" cm="1">
        <f t="array" ref="G7">COUNTIFS(tblTasks[Owner],tblTeam[[#This Row],[Name]],tblTasks[Status],"&lt;&gt;"&amp;DoneStatus)</f>
        <v>2</v>
      </c>
      <c r="H7" s="13">
        <f ca="1">COUNTIFS(tblTasks[Owner],tblTeam[[#This Row],[Name]],tblTasks[State],"Overdue")</f>
        <v>0</v>
      </c>
      <c r="I7" s="23">
        <f>IF(N(tblTeam[[#This Row],[Capacity]])=0,"",tblTeam[[#This Row],[Open Tasks]]/tblTeam[[#This Row],[Capacity]])</f>
        <v>0.33333333333333331</v>
      </c>
    </row>
    <row r="8" spans="1:10" x14ac:dyDescent="0.35">
      <c r="B8" s="7" t="s">
        <v>59</v>
      </c>
      <c r="C8" s="7" t="s">
        <v>60</v>
      </c>
      <c r="D8" s="7" t="s">
        <v>61</v>
      </c>
      <c r="E8" s="7" t="s">
        <v>62</v>
      </c>
      <c r="F8" s="7">
        <v>6</v>
      </c>
      <c r="G8" s="13" cm="1">
        <f t="array" ref="G8">COUNTIFS(tblTasks[Owner],tblTeam[[#This Row],[Name]],tblTasks[Status],"&lt;&gt;"&amp;DoneStatus)</f>
        <v>3</v>
      </c>
      <c r="H8" s="13">
        <f ca="1">COUNTIFS(tblTasks[Owner],tblTeam[[#This Row],[Name]],tblTasks[State],"Overdue")</f>
        <v>1</v>
      </c>
      <c r="I8" s="23">
        <f>IF(N(tblTeam[[#This Row],[Capacity]])=0,"",tblTeam[[#This Row],[Open Tasks]]/tblTeam[[#This Row],[Capacity]])</f>
        <v>0.5</v>
      </c>
    </row>
    <row r="9" spans="1:10" x14ac:dyDescent="0.35">
      <c r="B9" s="7" t="s">
        <v>63</v>
      </c>
      <c r="C9" s="7" t="s">
        <v>64</v>
      </c>
      <c r="D9" s="7" t="s">
        <v>65</v>
      </c>
      <c r="E9" s="7" t="s">
        <v>66</v>
      </c>
      <c r="F9" s="7">
        <v>5</v>
      </c>
      <c r="G9" s="13" cm="1">
        <f t="array" ref="G9">COUNTIFS(tblTasks[Owner],tblTeam[[#This Row],[Name]],tblTasks[Status],"&lt;&gt;"&amp;DoneStatus)</f>
        <v>5</v>
      </c>
      <c r="H9" s="13">
        <f ca="1">COUNTIFS(tblTasks[Owner],tblTeam[[#This Row],[Name]],tblTasks[State],"Overdue")</f>
        <v>3</v>
      </c>
      <c r="I9" s="23">
        <f>IF(N(tblTeam[[#This Row],[Capacity]])=0,"",tblTeam[[#This Row],[Open Tasks]]/tblTeam[[#This Row],[Capacity]])</f>
        <v>1</v>
      </c>
    </row>
    <row r="10" spans="1:10" x14ac:dyDescent="0.35">
      <c r="B10" s="7" t="s">
        <v>67</v>
      </c>
      <c r="C10" s="7" t="s">
        <v>68</v>
      </c>
      <c r="D10" s="7" t="s">
        <v>69</v>
      </c>
      <c r="E10" s="7" t="s">
        <v>70</v>
      </c>
      <c r="F10" s="7">
        <v>6</v>
      </c>
      <c r="G10" s="13" cm="1">
        <f t="array" ref="G10">COUNTIFS(tblTasks[Owner],tblTeam[[#This Row],[Name]],tblTasks[Status],"&lt;&gt;"&amp;DoneStatus)</f>
        <v>4</v>
      </c>
      <c r="H10" s="13">
        <f ca="1">COUNTIFS(tblTasks[Owner],tblTeam[[#This Row],[Name]],tblTasks[State],"Overdue")</f>
        <v>2</v>
      </c>
      <c r="I10" s="23">
        <f>IF(N(tblTeam[[#This Row],[Capacity]])=0,"",tblTeam[[#This Row],[Open Tasks]]/tblTeam[[#This Row],[Capacity]])</f>
        <v>0.66666666666666663</v>
      </c>
    </row>
    <row r="11" spans="1:10" x14ac:dyDescent="0.35">
      <c r="B11" s="7" t="s">
        <v>71</v>
      </c>
      <c r="C11" s="7" t="s">
        <v>72</v>
      </c>
      <c r="D11" s="7" t="s">
        <v>73</v>
      </c>
      <c r="E11" s="7" t="s">
        <v>74</v>
      </c>
      <c r="F11" s="7">
        <v>5</v>
      </c>
      <c r="G11" s="13" cm="1">
        <f t="array" ref="G11">COUNTIFS(tblTasks[Owner],tblTeam[[#This Row],[Name]],tblTasks[Status],"&lt;&gt;"&amp;DoneStatus)</f>
        <v>3</v>
      </c>
      <c r="H11" s="13">
        <f ca="1">COUNTIFS(tblTasks[Owner],tblTeam[[#This Row],[Name]],tblTasks[State],"Overdue")</f>
        <v>1</v>
      </c>
      <c r="I11" s="23">
        <f>IF(N(tblTeam[[#This Row],[Capacity]])=0,"",tblTeam[[#This Row],[Open Tasks]]/tblTeam[[#This Row],[Capacity]])</f>
        <v>0.6</v>
      </c>
    </row>
    <row r="12" spans="1:10" x14ac:dyDescent="0.35">
      <c r="B12" s="7" t="s">
        <v>75</v>
      </c>
      <c r="C12" s="7" t="s">
        <v>76</v>
      </c>
      <c r="D12" s="7" t="s">
        <v>77</v>
      </c>
      <c r="E12" s="7" t="s">
        <v>78</v>
      </c>
      <c r="F12" s="7">
        <v>6</v>
      </c>
      <c r="G12" s="13" cm="1">
        <f t="array" ref="G12">COUNTIFS(tblTasks[Owner],tblTeam[[#This Row],[Name]],tblTasks[Status],"&lt;&gt;"&amp;DoneStatus)</f>
        <v>6</v>
      </c>
      <c r="H12" s="13">
        <f ca="1">COUNTIFS(tblTasks[Owner],tblTeam[[#This Row],[Name]],tblTasks[State],"Overdue")</f>
        <v>2</v>
      </c>
      <c r="I12" s="23">
        <f>IF(N(tblTeam[[#This Row],[Capacity]])=0,"",tblTeam[[#This Row],[Open Tasks]]/tblTeam[[#This Row],[Capacity]])</f>
        <v>1</v>
      </c>
    </row>
    <row r="13" spans="1:10" x14ac:dyDescent="0.35">
      <c r="B13" s="7" t="s">
        <v>79</v>
      </c>
      <c r="C13" s="7" t="s">
        <v>80</v>
      </c>
      <c r="D13" s="7" t="s">
        <v>81</v>
      </c>
      <c r="E13" s="7" t="s">
        <v>58</v>
      </c>
      <c r="F13" s="7">
        <v>6</v>
      </c>
      <c r="G13" s="13" cm="1">
        <f t="array" ref="G13">COUNTIFS(tblTasks[Owner],tblTeam[[#This Row],[Name]],tblTasks[Status],"&lt;&gt;"&amp;DoneStatus)</f>
        <v>4</v>
      </c>
      <c r="H13" s="13">
        <f ca="1">COUNTIFS(tblTasks[Owner],tblTeam[[#This Row],[Name]],tblTasks[State],"Overdue")</f>
        <v>1</v>
      </c>
      <c r="I13" s="23">
        <f>IF(N(tblTeam[[#This Row],[Capacity]])=0,"",tblTeam[[#This Row],[Open Tasks]]/tblTeam[[#This Row],[Capacity]])</f>
        <v>0.66666666666666663</v>
      </c>
    </row>
    <row r="14" spans="1:10" x14ac:dyDescent="0.35">
      <c r="B14" s="7" t="s">
        <v>82</v>
      </c>
      <c r="C14" s="7" t="s">
        <v>83</v>
      </c>
      <c r="D14" s="7" t="s">
        <v>84</v>
      </c>
      <c r="E14" s="7" t="s">
        <v>62</v>
      </c>
      <c r="F14" s="7">
        <v>5</v>
      </c>
      <c r="G14" s="13" cm="1">
        <f t="array" ref="G14">COUNTIFS(tblTasks[Owner],tblTeam[[#This Row],[Name]],tblTasks[Status],"&lt;&gt;"&amp;DoneStatus)</f>
        <v>6</v>
      </c>
      <c r="H14" s="13">
        <f ca="1">COUNTIFS(tblTasks[Owner],tblTeam[[#This Row],[Name]],tblTasks[State],"Overdue")</f>
        <v>0</v>
      </c>
      <c r="I14" s="23">
        <f>IF(N(tblTeam[[#This Row],[Capacity]])=0,"",tblTeam[[#This Row],[Open Tasks]]/tblTeam[[#This Row],[Capacity]])</f>
        <v>1.2</v>
      </c>
    </row>
    <row r="15" spans="1:10" x14ac:dyDescent="0.35">
      <c r="B15" s="7" t="s">
        <v>85</v>
      </c>
      <c r="C15" s="7" t="s">
        <v>86</v>
      </c>
      <c r="D15" s="7" t="s">
        <v>87</v>
      </c>
      <c r="E15" s="7" t="s">
        <v>58</v>
      </c>
      <c r="F15" s="7">
        <v>6</v>
      </c>
      <c r="G15" s="13" cm="1">
        <f t="array" ref="G15">COUNTIFS(tblTasks[Owner],tblTeam[[#This Row],[Name]],tblTasks[Status],"&lt;&gt;"&amp;DoneStatus)</f>
        <v>4</v>
      </c>
      <c r="H15" s="13">
        <f ca="1">COUNTIFS(tblTasks[Owner],tblTeam[[#This Row],[Name]],tblTasks[State],"Overdue")</f>
        <v>2</v>
      </c>
      <c r="I15" s="23">
        <f>IF(N(tblTeam[[#This Row],[Capacity]])=0,"",tblTeam[[#This Row],[Open Tasks]]/tblTeam[[#This Row],[Capacity]])</f>
        <v>0.66666666666666663</v>
      </c>
    </row>
  </sheetData>
  <conditionalFormatting sqref="I6:I15">
    <cfRule type="dataBar" priority="1">
      <dataBar>
        <cfvo type="num" val="0"/>
        <cfvo type="num" val="1"/>
        <color rgb="FFF19A1A"/>
      </dataBar>
      <extLst>
        <ext xmlns:x14="http://schemas.microsoft.com/office/spreadsheetml/2009/9/main" uri="{B025F937-C7B1-47D3-B67F-A62EFF666E3E}">
          <x14:id>{813BD447-01B4-42A5-9A5A-C305943B1746}</x14:id>
        </ext>
      </extLst>
    </cfRule>
  </conditionalFormatting>
  <hyperlinks>
    <hyperlink ref="J2" location="'Home'!A1" display="⌂  Home" xr:uid="{220B6D6C-11A2-4AFC-8FC0-23463AC57D15}"/>
  </hyperlinks>
  <pageMargins left="0.7" right="0.7" top="0.75" bottom="0.75" header="0.3" footer="0.3"/>
  <pageSetup orientation="landscape"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13BD447-01B4-42A5-9A5A-C305943B1746}">
            <x14:dataBar minLength="0" maxLength="100" gradient="0" negativeBarColorSameAsPositive="1" axisPosition="none">
              <x14:cfvo type="num">
                <xm:f>0</xm:f>
              </x14:cfvo>
              <x14:cfvo type="num">
                <xm:f>1</xm:f>
              </x14:cfvo>
            </x14:dataBar>
          </x14:cfRule>
          <xm:sqref>I6:I15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2D496-E02C-4A45-914B-69605B8F82A5}">
  <sheetPr>
    <tabColor rgb="FF9AA1B5"/>
  </sheetPr>
  <dimension ref="A1:H29"/>
  <sheetViews>
    <sheetView showGridLines="0" zoomScale="90" zoomScaleNormal="90" workbookViewId="0">
      <selection activeCell="C7" sqref="C7:C12"/>
    </sheetView>
  </sheetViews>
  <sheetFormatPr defaultRowHeight="15" x14ac:dyDescent="0.35"/>
  <cols>
    <col min="1" max="1" width="2.77734375" customWidth="1"/>
    <col min="2" max="2" width="18.77734375" customWidth="1"/>
    <col min="3" max="3" width="44.77734375" customWidth="1"/>
    <col min="4" max="4" width="3.77734375" customWidth="1"/>
    <col min="5" max="5" width="14.77734375" customWidth="1"/>
    <col min="6" max="6" width="30.77734375" customWidth="1"/>
    <col min="7" max="7" width="3.77734375" customWidth="1"/>
    <col min="8" max="8" width="16.77734375" customWidth="1"/>
  </cols>
  <sheetData>
    <row r="1" spans="1:8" ht="7.95" customHeight="1" x14ac:dyDescent="0.35">
      <c r="A1" s="1"/>
      <c r="B1" s="1"/>
      <c r="C1" s="1"/>
      <c r="D1" s="1"/>
      <c r="E1" s="1"/>
      <c r="F1" s="1"/>
      <c r="G1" s="1"/>
      <c r="H1" s="1"/>
    </row>
    <row r="2" spans="1:8" ht="34.049999999999997" customHeight="1" x14ac:dyDescent="0.35">
      <c r="A2" s="1"/>
      <c r="B2" s="2" t="s">
        <v>0</v>
      </c>
      <c r="C2" s="1"/>
      <c r="D2" s="1"/>
      <c r="E2" s="1"/>
      <c r="F2" s="1"/>
      <c r="G2" s="1"/>
      <c r="H2" s="4" t="s">
        <v>2</v>
      </c>
    </row>
    <row r="3" spans="1:8" ht="19.95" customHeight="1" x14ac:dyDescent="0.35">
      <c r="A3" s="1"/>
      <c r="B3" s="3" t="s">
        <v>1</v>
      </c>
      <c r="C3" s="1"/>
      <c r="D3" s="1"/>
      <c r="E3" s="1"/>
      <c r="F3" s="1"/>
      <c r="G3" s="1"/>
      <c r="H3" s="1"/>
    </row>
    <row r="5" spans="1:8" ht="16.8" x14ac:dyDescent="0.4">
      <c r="B5" s="5" t="s">
        <v>3</v>
      </c>
      <c r="E5" s="5" t="s">
        <v>17</v>
      </c>
    </row>
    <row r="6" spans="1:8" x14ac:dyDescent="0.35">
      <c r="B6" t="s">
        <v>4</v>
      </c>
      <c r="C6" t="s">
        <v>5</v>
      </c>
      <c r="E6" t="s">
        <v>18</v>
      </c>
      <c r="F6" t="s">
        <v>5</v>
      </c>
    </row>
    <row r="7" spans="1:8" x14ac:dyDescent="0.35">
      <c r="B7" s="6" t="s">
        <v>6</v>
      </c>
      <c r="C7" s="6" t="s">
        <v>7</v>
      </c>
      <c r="E7" s="6" t="s">
        <v>19</v>
      </c>
      <c r="F7" s="6" t="s">
        <v>20</v>
      </c>
    </row>
    <row r="8" spans="1:8" x14ac:dyDescent="0.35">
      <c r="B8" s="7" t="s">
        <v>8</v>
      </c>
      <c r="C8" s="7" t="s">
        <v>9</v>
      </c>
      <c r="E8" s="7" t="s">
        <v>21</v>
      </c>
      <c r="F8" s="7" t="s">
        <v>22</v>
      </c>
    </row>
    <row r="9" spans="1:8" x14ac:dyDescent="0.35">
      <c r="B9" s="7" t="s">
        <v>10</v>
      </c>
      <c r="C9" s="7" t="s">
        <v>11</v>
      </c>
      <c r="E9" s="7" t="s">
        <v>23</v>
      </c>
      <c r="F9" s="7" t="s">
        <v>24</v>
      </c>
    </row>
    <row r="10" spans="1:8" x14ac:dyDescent="0.35">
      <c r="B10" s="7" t="s">
        <v>12</v>
      </c>
      <c r="C10" s="7" t="s">
        <v>13</v>
      </c>
      <c r="E10" s="7" t="s">
        <v>25</v>
      </c>
      <c r="F10" s="7" t="s">
        <v>26</v>
      </c>
    </row>
    <row r="11" spans="1:8" x14ac:dyDescent="0.35">
      <c r="B11" s="7" t="s">
        <v>14</v>
      </c>
      <c r="C11" s="7" t="s">
        <v>15</v>
      </c>
      <c r="E11" s="164" t="s">
        <v>353</v>
      </c>
      <c r="F11" s="164" t="s">
        <v>352</v>
      </c>
    </row>
    <row r="12" spans="1:8" x14ac:dyDescent="0.35">
      <c r="B12" s="164" t="s">
        <v>350</v>
      </c>
      <c r="C12" s="164" t="s">
        <v>351</v>
      </c>
    </row>
    <row r="13" spans="1:8" x14ac:dyDescent="0.35">
      <c r="B13" s="7"/>
      <c r="C13" s="7"/>
    </row>
    <row r="14" spans="1:8" x14ac:dyDescent="0.35">
      <c r="B14" s="8" t="s">
        <v>16</v>
      </c>
    </row>
    <row r="16" spans="1:8" ht="16.8" x14ac:dyDescent="0.4">
      <c r="B16" s="5" t="s">
        <v>27</v>
      </c>
    </row>
    <row r="17" spans="2:2" x14ac:dyDescent="0.35">
      <c r="B17" t="s">
        <v>28</v>
      </c>
    </row>
    <row r="18" spans="2:2" x14ac:dyDescent="0.35">
      <c r="B18" s="6" t="s">
        <v>29</v>
      </c>
    </row>
    <row r="19" spans="2:2" x14ac:dyDescent="0.35">
      <c r="B19" s="7" t="s">
        <v>30</v>
      </c>
    </row>
    <row r="20" spans="2:2" x14ac:dyDescent="0.35">
      <c r="B20" s="7" t="s">
        <v>31</v>
      </c>
    </row>
    <row r="21" spans="2:2" x14ac:dyDescent="0.35">
      <c r="B21" s="7" t="s">
        <v>32</v>
      </c>
    </row>
    <row r="22" spans="2:2" x14ac:dyDescent="0.35">
      <c r="B22" s="7" t="s">
        <v>33</v>
      </c>
    </row>
    <row r="23" spans="2:2" x14ac:dyDescent="0.35">
      <c r="B23" s="7" t="s">
        <v>34</v>
      </c>
    </row>
    <row r="24" spans="2:2" x14ac:dyDescent="0.35">
      <c r="B24" s="7" t="s">
        <v>35</v>
      </c>
    </row>
    <row r="25" spans="2:2" x14ac:dyDescent="0.35">
      <c r="B25" s="7" t="s">
        <v>36</v>
      </c>
    </row>
    <row r="26" spans="2:2" x14ac:dyDescent="0.35">
      <c r="B26" s="7" t="s">
        <v>37</v>
      </c>
    </row>
    <row r="27" spans="2:2" x14ac:dyDescent="0.35">
      <c r="B27" s="7" t="s">
        <v>38</v>
      </c>
    </row>
    <row r="28" spans="2:2" x14ac:dyDescent="0.35">
      <c r="B28" s="7" t="s">
        <v>39</v>
      </c>
    </row>
    <row r="29" spans="2:2" x14ac:dyDescent="0.35">
      <c r="B29" s="7" t="s">
        <v>40</v>
      </c>
    </row>
  </sheetData>
  <hyperlinks>
    <hyperlink ref="H2" location="'Home'!A1" display="⌂  Home" xr:uid="{D7094EA3-9174-41CA-AF68-9CCD9B7381B0}"/>
  </hyperlinks>
  <pageMargins left="0.7" right="0.7" top="0.75" bottom="0.75" header="0.3" footer="0.3"/>
  <pageSetup orientation="landscape"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A2A92-0E31-4A12-A423-8EFB9D534C48}">
  <sheetPr>
    <tabColor rgb="FF9AA1B5"/>
  </sheetPr>
  <dimension ref="A1:E63"/>
  <sheetViews>
    <sheetView workbookViewId="0"/>
  </sheetViews>
  <sheetFormatPr defaultRowHeight="15" x14ac:dyDescent="0.35"/>
  <sheetData>
    <row r="1" spans="1:3" x14ac:dyDescent="0.35">
      <c r="A1" s="32" t="s">
        <v>217</v>
      </c>
    </row>
    <row r="2" spans="1:3" x14ac:dyDescent="0.35">
      <c r="B2" t="s">
        <v>4</v>
      </c>
      <c r="C2" t="s">
        <v>99</v>
      </c>
    </row>
    <row r="3" spans="1:3" x14ac:dyDescent="0.35">
      <c r="B3" t="e" cm="1" vm="3">
        <f t="array" aca="1" ref="B3" ca="1">lstStatus</f>
        <v>#VALUE!</v>
      </c>
      <c r="C3" cm="1">
        <f t="array" aca="1" ref="C3" ca="1">COUNTIFS(tblTasks[Status],_xlfn.ANCHORARRAY(B3),tblTasks[Visible],1)</f>
        <v>0</v>
      </c>
    </row>
    <row r="9" spans="1:3" x14ac:dyDescent="0.35">
      <c r="B9" t="s">
        <v>18</v>
      </c>
      <c r="C9" t="s">
        <v>218</v>
      </c>
    </row>
    <row r="10" spans="1:3" x14ac:dyDescent="0.35">
      <c r="B10" t="str" cm="1">
        <f t="array" ref="B10:B14">lstPriority</f>
        <v>Urgent</v>
      </c>
      <c r="C10" cm="1">
        <f t="array" ref="C10:C14">COUNTIFS(tblTasks[Priority],_xlfn.ANCHORARRAY(B10),tblTasks[Visible],1,tblTasks[Status],"&lt;&gt;"&amp;DoneStatus)</f>
        <v>4</v>
      </c>
    </row>
    <row r="11" spans="1:3" x14ac:dyDescent="0.35">
      <c r="B11" t="str">
        <v>High</v>
      </c>
      <c r="C11">
        <v>15</v>
      </c>
    </row>
    <row r="12" spans="1:3" x14ac:dyDescent="0.35">
      <c r="B12" t="str">
        <v>Normal</v>
      </c>
      <c r="C12">
        <v>17</v>
      </c>
    </row>
    <row r="13" spans="1:3" x14ac:dyDescent="0.35">
      <c r="B13" t="str">
        <v>Low</v>
      </c>
      <c r="C13">
        <v>5</v>
      </c>
    </row>
    <row r="14" spans="1:3" x14ac:dyDescent="0.35">
      <c r="B14" t="str">
        <v>Chairman ✨</v>
      </c>
      <c r="C14">
        <v>0</v>
      </c>
    </row>
    <row r="19" spans="2:5" x14ac:dyDescent="0.35">
      <c r="B19" t="s">
        <v>219</v>
      </c>
      <c r="C19" t="s">
        <v>14</v>
      </c>
      <c r="D19" t="s">
        <v>218</v>
      </c>
      <c r="E19" t="s">
        <v>49</v>
      </c>
    </row>
    <row r="20" spans="2:5" x14ac:dyDescent="0.35">
      <c r="B20" t="str" cm="1">
        <f t="array" ref="B20:B29">lstMembers</f>
        <v>Sara Ali</v>
      </c>
      <c r="C20" cm="1">
        <f t="array" ref="C20:C29">COUNTIFS(tblTasks[Owner],_xlfn.ANCHORARRAY(B20),tblTasks[Visible],1,tblTasks[Status],DoneStatus)</f>
        <v>0</v>
      </c>
      <c r="D20" cm="1">
        <f t="array" aca="1" ref="D20:D29" ca="1">COUNTIFS(tblTasks[Owner],_xlfn.ANCHORARRAY(B20),tblTasks[Visible],1,tblTasks[Status],"&lt;&gt;"&amp;DoneStatus)-_xlfn.ANCHORARRAY(E20)</f>
        <v>3</v>
      </c>
      <c r="E20" cm="1">
        <f t="array" aca="1" ref="E20:E29" ca="1">COUNTIFS(tblTasks[Owner],_xlfn.ANCHORARRAY(B20),tblTasks[Visible],1,tblTasks[State],"Overdue")</f>
        <v>1</v>
      </c>
    </row>
    <row r="21" spans="2:5" x14ac:dyDescent="0.35">
      <c r="B21" t="str">
        <v>Omar Haddad</v>
      </c>
      <c r="C21">
        <v>0</v>
      </c>
      <c r="D21">
        <f ca="1"/>
        <v>2</v>
      </c>
      <c r="E21">
        <f ca="1"/>
        <v>0</v>
      </c>
    </row>
    <row r="22" spans="2:5" x14ac:dyDescent="0.35">
      <c r="B22" t="str">
        <v>Lina Park</v>
      </c>
      <c r="C22">
        <v>0</v>
      </c>
      <c r="D22">
        <f ca="1"/>
        <v>2</v>
      </c>
      <c r="E22">
        <f ca="1"/>
        <v>1</v>
      </c>
    </row>
    <row r="23" spans="2:5" x14ac:dyDescent="0.35">
      <c r="B23" t="str">
        <v>Jack Moore</v>
      </c>
      <c r="C23">
        <v>0</v>
      </c>
      <c r="D23">
        <f ca="1"/>
        <v>2</v>
      </c>
      <c r="E23">
        <f ca="1"/>
        <v>3</v>
      </c>
    </row>
    <row r="24" spans="2:5" x14ac:dyDescent="0.35">
      <c r="B24" t="str">
        <v>Maya Chen</v>
      </c>
      <c r="C24">
        <v>0</v>
      </c>
      <c r="D24">
        <f ca="1"/>
        <v>2</v>
      </c>
      <c r="E24">
        <f ca="1"/>
        <v>2</v>
      </c>
    </row>
    <row r="25" spans="2:5" x14ac:dyDescent="0.35">
      <c r="B25" t="str">
        <v>Ravi Kumar</v>
      </c>
      <c r="C25">
        <v>0</v>
      </c>
      <c r="D25">
        <f ca="1"/>
        <v>2</v>
      </c>
      <c r="E25">
        <f ca="1"/>
        <v>1</v>
      </c>
    </row>
    <row r="26" spans="2:5" x14ac:dyDescent="0.35">
      <c r="B26" t="str">
        <v>Nora Fischer</v>
      </c>
      <c r="C26">
        <v>0</v>
      </c>
      <c r="D26">
        <f ca="1"/>
        <v>4</v>
      </c>
      <c r="E26">
        <f ca="1"/>
        <v>2</v>
      </c>
    </row>
    <row r="27" spans="2:5" x14ac:dyDescent="0.35">
      <c r="B27" t="str">
        <v>Diego Santos</v>
      </c>
      <c r="C27">
        <v>0</v>
      </c>
      <c r="D27">
        <f ca="1"/>
        <v>3</v>
      </c>
      <c r="E27">
        <f ca="1"/>
        <v>1</v>
      </c>
    </row>
    <row r="28" spans="2:5" x14ac:dyDescent="0.35">
      <c r="B28" t="str">
        <v>Aisha Bello</v>
      </c>
      <c r="C28">
        <v>0</v>
      </c>
      <c r="D28">
        <f ca="1"/>
        <v>6</v>
      </c>
      <c r="E28">
        <f ca="1"/>
        <v>0</v>
      </c>
    </row>
    <row r="29" spans="2:5" x14ac:dyDescent="0.35">
      <c r="B29" t="str">
        <v>Tom Becker</v>
      </c>
      <c r="C29">
        <v>0</v>
      </c>
      <c r="D29">
        <f ca="1"/>
        <v>2</v>
      </c>
      <c r="E29">
        <f ca="1"/>
        <v>2</v>
      </c>
    </row>
    <row r="44" spans="2:5" x14ac:dyDescent="0.35">
      <c r="B44" t="s">
        <v>220</v>
      </c>
      <c r="C44" t="s">
        <v>221</v>
      </c>
      <c r="D44" t="s">
        <v>222</v>
      </c>
      <c r="E44" t="s">
        <v>223</v>
      </c>
    </row>
    <row r="45" spans="2:5" x14ac:dyDescent="0.35">
      <c r="B45" s="33" cm="1">
        <f t="array" aca="1" ref="B45:B52" ca="1">TODAY()-WEEKDAY(TODAY(),2)+1-7*_xlfn.SEQUENCE(8,1,7,-1)</f>
        <v>46258</v>
      </c>
      <c r="C45" t="str" cm="1">
        <f t="array" aca="1" ref="C45:C52" ca="1">TEXT(_xlfn.ANCHORARRAY(B45),"d mmm")</f>
        <v>24 Aug</v>
      </c>
      <c r="D45" cm="1">
        <f t="array" aca="1" ref="D45:D52" ca="1">COUNTIFS(tblTasks[Added On],"&gt;="&amp;_xlfn.ANCHORARRAY(B45),tblTasks[Added On],"&lt;"&amp;(_xlfn.ANCHORARRAY(B45)+7),tblTasks[Visible],1)</f>
        <v>1</v>
      </c>
      <c r="E45" cm="1">
        <f t="array" aca="1" ref="E45:E52" ca="1">COUNTIFS(tblTasks[Completed On],"&gt;="&amp;_xlfn.ANCHORARRAY(B45),tblTasks[Completed On],"&lt;"&amp;(_xlfn.ANCHORARRAY(B45)+7),tblTasks[Visible],1)</f>
        <v>0</v>
      </c>
    </row>
    <row r="46" spans="2:5" x14ac:dyDescent="0.35">
      <c r="B46" s="33">
        <f ca="1"/>
        <v>46265</v>
      </c>
      <c r="C46" t="str">
        <f ca="1"/>
        <v>31 Aug</v>
      </c>
      <c r="D46">
        <f ca="1"/>
        <v>1</v>
      </c>
      <c r="E46">
        <f ca="1"/>
        <v>0</v>
      </c>
    </row>
    <row r="47" spans="2:5" x14ac:dyDescent="0.35">
      <c r="B47" s="33">
        <f ca="1"/>
        <v>46272</v>
      </c>
      <c r="C47" t="str">
        <f ca="1"/>
        <v>7 Sep</v>
      </c>
      <c r="D47">
        <f ca="1"/>
        <v>3</v>
      </c>
      <c r="E47">
        <f ca="1"/>
        <v>0</v>
      </c>
    </row>
    <row r="48" spans="2:5" x14ac:dyDescent="0.35">
      <c r="B48" s="33">
        <f ca="1"/>
        <v>46279</v>
      </c>
      <c r="C48" t="str">
        <f ca="1"/>
        <v>14 Sep</v>
      </c>
      <c r="D48">
        <f ca="1"/>
        <v>2</v>
      </c>
      <c r="E48">
        <f ca="1"/>
        <v>0</v>
      </c>
    </row>
    <row r="49" spans="2:5" x14ac:dyDescent="0.35">
      <c r="B49" s="33">
        <f ca="1"/>
        <v>46286</v>
      </c>
      <c r="C49" t="str">
        <f ca="1"/>
        <v>21 Sep</v>
      </c>
      <c r="D49">
        <f ca="1"/>
        <v>4</v>
      </c>
      <c r="E49">
        <f ca="1"/>
        <v>1</v>
      </c>
    </row>
    <row r="50" spans="2:5" x14ac:dyDescent="0.35">
      <c r="B50" s="33">
        <f ca="1"/>
        <v>46293</v>
      </c>
      <c r="C50" t="str">
        <f ca="1"/>
        <v>28 Sep</v>
      </c>
      <c r="D50">
        <f ca="1"/>
        <v>7</v>
      </c>
      <c r="E50">
        <f ca="1"/>
        <v>2</v>
      </c>
    </row>
    <row r="51" spans="2:5" x14ac:dyDescent="0.35">
      <c r="B51" s="33">
        <f ca="1"/>
        <v>46300</v>
      </c>
      <c r="C51" t="str">
        <f ca="1"/>
        <v>5 Oct</v>
      </c>
      <c r="D51">
        <f ca="1"/>
        <v>12</v>
      </c>
      <c r="E51">
        <f ca="1"/>
        <v>4</v>
      </c>
    </row>
    <row r="52" spans="2:5" x14ac:dyDescent="0.35">
      <c r="B52" s="33">
        <f ca="1"/>
        <v>46307</v>
      </c>
      <c r="C52" t="str">
        <f ca="1"/>
        <v>12 Oct</v>
      </c>
      <c r="D52">
        <f ca="1"/>
        <v>11</v>
      </c>
      <c r="E52">
        <f ca="1"/>
        <v>3</v>
      </c>
    </row>
    <row r="58" spans="2:5" x14ac:dyDescent="0.35">
      <c r="B58" t="s">
        <v>224</v>
      </c>
      <c r="C58" cm="1">
        <f t="array" ref="C58">SUMPRODUCT((tblTasks[Visible]=1)*(tblTasks[Task]&lt;&gt;""))</f>
        <v>41</v>
      </c>
    </row>
    <row r="59" spans="2:5" x14ac:dyDescent="0.35">
      <c r="B59" t="s">
        <v>225</v>
      </c>
      <c r="C59" cm="1">
        <f t="array" ref="C59">COUNTIFS(tblTasks[Status],DoneStatus,tblTasks[Visible],1)</f>
        <v>0</v>
      </c>
    </row>
    <row r="60" spans="2:5" x14ac:dyDescent="0.35">
      <c r="B60" t="s">
        <v>14</v>
      </c>
      <c r="C60">
        <f>IF(C58=0,0,C59/C58)</f>
        <v>0</v>
      </c>
    </row>
    <row r="61" spans="2:5" x14ac:dyDescent="0.35">
      <c r="B61" t="s">
        <v>226</v>
      </c>
      <c r="C61">
        <f>1-C60</f>
        <v>1</v>
      </c>
    </row>
    <row r="63" spans="2:5" x14ac:dyDescent="0.35">
      <c r="B63" t="s">
        <v>227</v>
      </c>
      <c r="C63" t="str">
        <f>"Overall completion  ·  "&amp;TEXT(C60,"0%")</f>
        <v>Overall completion  ·  0%</v>
      </c>
    </row>
  </sheetData>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Home</vt:lpstr>
      <vt:lpstr>Dashboard</vt:lpstr>
      <vt:lpstr>Board</vt:lpstr>
      <vt:lpstr>Room</vt:lpstr>
      <vt:lpstr>My Work</vt:lpstr>
      <vt:lpstr>Calendar</vt:lpstr>
      <vt:lpstr>Scorecards</vt:lpstr>
      <vt:lpstr>Projects</vt:lpstr>
      <vt:lpstr>Tasks</vt:lpstr>
      <vt:lpstr>Team</vt:lpstr>
      <vt:lpstr>Settings</vt:lpstr>
      <vt:lpstr>Calc</vt:lpstr>
      <vt:lpstr>lstMembers</vt:lpstr>
      <vt:lpstr>lstMonths</vt:lpstr>
      <vt:lpstr>lstPriority</vt:lpstr>
      <vt:lpstr>lstProjects</vt:lpstr>
      <vt:lpstr>lstStatus</vt:lpstr>
      <vt:lpstr>Board!Print_Area</vt:lpstr>
      <vt:lpstr>Calendar!Print_Area</vt:lpstr>
      <vt:lpstr>Dashboard!Print_Area</vt:lpstr>
      <vt:lpstr>Home!Print_Area</vt:lpstr>
      <vt:lpstr>'My Work'!Print_Area</vt:lpstr>
      <vt:lpstr>Room!Print_Area</vt:lpstr>
      <vt:lpstr>Scorecards!Print_Area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 Ibrahim  ElSayed</dc:creator>
  <cp:lastModifiedBy>Aly Ibrahim  ElSayed</cp:lastModifiedBy>
  <dcterms:created xsi:type="dcterms:W3CDTF">2026-10-17T05:21:20Z</dcterms:created>
  <dcterms:modified xsi:type="dcterms:W3CDTF">2026-10-17T06:10:59Z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ae9b0269-a8ba-4a75-8da0-66485cd3c93a</vt:lpwstr>
  </property>
</Properties>
</file>